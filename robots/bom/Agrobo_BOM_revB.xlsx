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 B US-sourc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B6B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34" customWidth="1" min="4" max="4"/>
    <col width="26" customWidth="1" min="5" max="5"/>
    <col width="9" customWidth="1" min="6" max="6"/>
    <col width="5" customWidth="1" min="7" max="7"/>
    <col width="9" customWidth="1" min="8" max="8"/>
    <col width="10" customWidth="1" min="9" max="9"/>
    <col width="8" customWidth="1" min="10" max="10"/>
    <col width="9" customWidth="1" min="11" max="11"/>
    <col width="34" customWidth="1" min="12" max="12"/>
    <col width="70" customWidth="1" min="13" max="13"/>
  </cols>
  <sheetData>
    <row r="1">
      <c r="A1" s="1" t="inlineStr">
        <is>
          <t>part_no</t>
        </is>
      </c>
      <c r="B1" s="1" t="inlineStr">
        <is>
          <t>rev_a_part</t>
        </is>
      </c>
      <c r="C1" s="1" t="inlineStr">
        <is>
          <t>rev_b_description</t>
        </is>
      </c>
      <c r="D1" s="1" t="inlineStr">
        <is>
          <t>supplier</t>
        </is>
      </c>
      <c r="E1" s="1" t="inlineStr">
        <is>
          <t>model</t>
        </is>
      </c>
      <c r="F1" s="1" t="inlineStr">
        <is>
          <t>origin</t>
        </is>
      </c>
      <c r="G1" s="1" t="inlineStr">
        <is>
          <t>qty</t>
        </is>
      </c>
      <c r="H1" s="1" t="inlineStr">
        <is>
          <t>unit_usd</t>
        </is>
      </c>
      <c r="I1" s="1" t="inlineStr">
        <is>
          <t>ext_usd</t>
        </is>
      </c>
      <c r="J1" s="1" t="inlineStr">
        <is>
          <t>price_basis</t>
        </is>
      </c>
      <c r="K1" s="1" t="inlineStr">
        <is>
          <t>lead_time</t>
        </is>
      </c>
      <c r="L1" s="1" t="inlineStr">
        <is>
          <t>mechanical_change</t>
        </is>
      </c>
      <c r="M1" s="1" t="inlineStr">
        <is>
          <t>notes</t>
        </is>
      </c>
    </row>
    <row r="2">
      <c r="A2" t="inlineStr">
        <is>
          <t>AB1-101</t>
        </is>
      </c>
      <c r="B2" t="inlineStr">
        <is>
          <t>80/20 1515</t>
        </is>
      </c>
      <c r="C2" t="inlineStr">
        <is>
          <t>T-slot profile, cut to length</t>
        </is>
      </c>
      <c r="D2" t="inlineStr">
        <is>
          <t>80/20 Inc. (Columbia City, IN)</t>
        </is>
      </c>
      <c r="E2" t="inlineStr">
        <is>
          <t>1515</t>
        </is>
      </c>
      <c r="F2" s="2" t="inlineStr">
        <is>
          <t>US?</t>
        </is>
      </c>
      <c r="G2" t="n">
        <v>1</v>
      </c>
      <c r="H2" t="n">
        <v>980</v>
      </c>
      <c r="I2">
        <f>G2*H2</f>
        <v/>
      </c>
      <c r="J2" t="inlineStr">
        <is>
          <t>est</t>
        </is>
      </c>
      <c r="K2" t="inlineStr">
        <is>
          <t>1 wk</t>
        </is>
      </c>
      <c r="L2" t="inlineStr"/>
      <c r="M2" t="inlineStr"/>
    </row>
    <row r="3">
      <c r="A3" t="inlineStr">
        <is>
          <t>AB1-102</t>
        </is>
      </c>
      <c r="B3" t="inlineStr">
        <is>
          <t>assorted</t>
        </is>
      </c>
      <c r="C3" t="inlineStr">
        <is>
          <t>Fasteners, T-nuts, gussets: US-made stainless</t>
        </is>
      </c>
      <c r="D3" t="inlineStr">
        <is>
          <t>80/20 + US fastener mills</t>
        </is>
      </c>
      <c r="E3" t="inlineStr">
        <is>
          <t>assorted</t>
        </is>
      </c>
      <c r="F3" s="2" t="inlineStr">
        <is>
          <t>US?</t>
        </is>
      </c>
      <c r="G3" t="n">
        <v>1</v>
      </c>
      <c r="H3" t="n">
        <v>900</v>
      </c>
      <c r="I3">
        <f>G3*H3</f>
        <v/>
      </c>
      <c r="J3" t="inlineStr">
        <is>
          <t>est</t>
        </is>
      </c>
      <c r="K3" t="inlineStr">
        <is>
          <t>1-2 wk</t>
        </is>
      </c>
      <c r="L3" t="inlineStr"/>
      <c r="M3" t="inlineStr">
        <is>
          <t>specify DFARS/US-melt stainless</t>
        </is>
      </c>
    </row>
    <row r="4">
      <c r="A4" t="inlineStr">
        <is>
          <t>AB1-201</t>
        </is>
      </c>
      <c r="B4" t="inlineStr">
        <is>
          <t>SendCutSend</t>
        </is>
      </c>
      <c r="C4" t="inlineStr">
        <is>
          <t>Deck plate 3 mm 5052, laser cut, US-mill aluminium</t>
        </is>
      </c>
      <c r="D4" t="inlineStr">
        <is>
          <t>SendCutSend (NV/CA/TX)</t>
        </is>
      </c>
      <c r="E4" t="inlineStr">
        <is>
          <t>cad/dxf/AB1-201</t>
        </is>
      </c>
      <c r="F4" s="2" t="inlineStr">
        <is>
          <t>US?</t>
        </is>
      </c>
      <c r="G4" t="n">
        <v>1</v>
      </c>
      <c r="H4" t="n">
        <v>310</v>
      </c>
      <c r="I4">
        <f>G4*H4</f>
        <v/>
      </c>
      <c r="J4" t="inlineStr">
        <is>
          <t>est</t>
        </is>
      </c>
      <c r="K4" t="inlineStr">
        <is>
          <t>1 wk</t>
        </is>
      </c>
      <c r="L4" t="inlineStr"/>
      <c r="M4" t="inlineStr">
        <is>
          <t>request US-melted sheet</t>
        </is>
      </c>
    </row>
    <row r="5">
      <c r="A5" t="inlineStr">
        <is>
          <t>AB1-202</t>
        </is>
      </c>
      <c r="B5" t="inlineStr">
        <is>
          <t>SendCutSend</t>
        </is>
      </c>
      <c r="C5" t="inlineStr">
        <is>
          <t>Reducer mount plate 12 mm 6061 (was axle plate)</t>
        </is>
      </c>
      <c r="D5" t="inlineStr">
        <is>
          <t>SendCutSend / US CNC shop</t>
        </is>
      </c>
      <c r="E5" t="inlineStr">
        <is>
          <t>TODO redraw</t>
        </is>
      </c>
      <c r="F5" s="2" t="inlineStr">
        <is>
          <t>US?</t>
        </is>
      </c>
      <c r="G5" t="n">
        <v>4</v>
      </c>
      <c r="H5" t="n">
        <v>95</v>
      </c>
      <c r="I5">
        <f>G5*H5</f>
        <v/>
      </c>
      <c r="J5" t="inlineStr">
        <is>
          <t>est</t>
        </is>
      </c>
      <c r="K5" t="inlineStr">
        <is>
          <t>1-2 wk</t>
        </is>
      </c>
      <c r="L5" t="inlineStr">
        <is>
          <t>YES: becomes a reducer mount</t>
        </is>
      </c>
      <c r="M5" t="inlineStr"/>
    </row>
    <row r="6">
      <c r="A6" t="inlineStr">
        <is>
          <t>AB1-203</t>
        </is>
      </c>
      <c r="B6" t="inlineStr">
        <is>
          <t>SendCutSend</t>
        </is>
      </c>
      <c r="C6" t="inlineStr">
        <is>
          <t>Leg gusset plate 10 mm 6061</t>
        </is>
      </c>
      <c r="D6" t="inlineStr">
        <is>
          <t>SendCutSend</t>
        </is>
      </c>
      <c r="E6" t="inlineStr">
        <is>
          <t>cad/step</t>
        </is>
      </c>
      <c r="F6" s="2" t="inlineStr">
        <is>
          <t>US?</t>
        </is>
      </c>
      <c r="G6" t="n">
        <v>4</v>
      </c>
      <c r="H6" t="n">
        <v>40</v>
      </c>
      <c r="I6">
        <f>G6*H6</f>
        <v/>
      </c>
      <c r="J6" t="inlineStr">
        <is>
          <t>est</t>
        </is>
      </c>
      <c r="K6" t="inlineStr">
        <is>
          <t>1 wk</t>
        </is>
      </c>
      <c r="L6" t="inlineStr"/>
      <c r="M6" t="inlineStr"/>
    </row>
    <row r="7">
      <c r="A7" t="inlineStr">
        <is>
          <t>AB1-205</t>
        </is>
      </c>
      <c r="B7" t="inlineStr">
        <is>
          <t>local</t>
        </is>
      </c>
      <c r="C7" t="inlineStr">
        <is>
          <t>Powder coat / anodise</t>
        </is>
      </c>
      <c r="D7" t="inlineStr">
        <is>
          <t>local FL shop</t>
        </is>
      </c>
      <c r="E7" t="inlineStr"/>
      <c r="F7" s="3" t="inlineStr">
        <is>
          <t>US</t>
        </is>
      </c>
      <c r="G7" t="n">
        <v>1</v>
      </c>
      <c r="H7" t="n">
        <v>400</v>
      </c>
      <c r="I7">
        <f>G7*H7</f>
        <v/>
      </c>
      <c r="J7" t="inlineStr">
        <is>
          <t>est</t>
        </is>
      </c>
      <c r="K7" t="inlineStr">
        <is>
          <t>1 wk</t>
        </is>
      </c>
      <c r="L7" t="inlineStr"/>
      <c r="M7" t="inlineStr">
        <is>
          <t>service</t>
        </is>
      </c>
    </row>
    <row r="8">
      <c r="A8" t="inlineStr">
        <is>
          <t>AB1-301</t>
        </is>
      </c>
      <c r="B8" t="inlineStr">
        <is>
          <t>OZO hub motor (France)</t>
        </is>
      </c>
      <c r="C8" t="inlineStr">
        <is>
          <t>BLDC motor 48 V ~2 kW, inboard (4.6 N m cont at motor)</t>
        </is>
      </c>
      <c r="D8" t="inlineStr">
        <is>
          <t>Motenergy (Hartford, WI; distributor)</t>
        </is>
      </c>
      <c r="E8" t="inlineStr">
        <is>
          <t>ME17xx series</t>
        </is>
      </c>
      <c r="F8" s="2" t="inlineStr">
        <is>
          <t>US?</t>
        </is>
      </c>
      <c r="G8" t="n">
        <v>4</v>
      </c>
      <c r="H8" t="n">
        <v>650</v>
      </c>
      <c r="I8">
        <f>G8*H8</f>
        <v/>
      </c>
      <c r="J8" t="inlineStr">
        <is>
          <t>est</t>
        </is>
      </c>
      <c r="K8" t="inlineStr">
        <is>
          <t>2-4 wk</t>
        </is>
      </c>
      <c r="L8" t="inlineStr">
        <is>
          <t>YES: hub motor replaced by inboard motor + reducer</t>
        </is>
      </c>
      <c r="M8" t="inlineStr">
        <is>
          <t>origin of motor not stated, https://www.motenergy.com/info.html</t>
        </is>
      </c>
    </row>
    <row r="9">
      <c r="A9" t="inlineStr">
        <is>
          <t>AB1-301b</t>
        </is>
      </c>
      <c r="B9" t="inlineStr">
        <is>
          <t>(in hub motor)</t>
        </is>
      </c>
      <c r="C9" t="inlineStr">
        <is>
          <t>Right-angle reducer 12:1, wheel on output shaft</t>
        </is>
      </c>
      <c r="D9" t="inlineStr">
        <is>
          <t>Winsmith (Springville NY / GA / NC)</t>
        </is>
      </c>
      <c r="E9" t="inlineStr">
        <is>
          <t>RD series</t>
        </is>
      </c>
      <c r="F9" s="3" t="inlineStr">
        <is>
          <t>US</t>
        </is>
      </c>
      <c r="G9" t="n">
        <v>4</v>
      </c>
      <c r="H9" t="n">
        <v>850</v>
      </c>
      <c r="I9">
        <f>G9*H9</f>
        <v/>
      </c>
      <c r="J9" t="inlineStr">
        <is>
          <t>est</t>
        </is>
      </c>
      <c r="K9" t="inlineStr">
        <is>
          <t>5 days</t>
        </is>
      </c>
      <c r="L9" t="inlineStr">
        <is>
          <t>YES: new part per wheel, ~+4 kg/wheel</t>
        </is>
      </c>
      <c r="M9" t="inlineStr">
        <is>
          <t>'manufactured at US facilities' https://winsmith.com/products/rd-series/</t>
        </is>
      </c>
    </row>
    <row r="10">
      <c r="A10" t="inlineStr">
        <is>
          <t>AB1-301c</t>
        </is>
      </c>
      <c r="B10" t="inlineStr">
        <is>
          <t>-</t>
        </is>
      </c>
      <c r="C10" t="inlineStr">
        <is>
          <t>Wheel hub adapter + output-shaft bearing</t>
        </is>
      </c>
      <c r="D10" t="inlineStr">
        <is>
          <t>Timken / US CNC</t>
        </is>
      </c>
      <c r="E10" t="inlineStr"/>
      <c r="F10" s="2" t="inlineStr">
        <is>
          <t>US?</t>
        </is>
      </c>
      <c r="G10" t="n">
        <v>4</v>
      </c>
      <c r="H10" t="n">
        <v>120</v>
      </c>
      <c r="I10">
        <f>G10*H10</f>
        <v/>
      </c>
      <c r="J10" t="inlineStr">
        <is>
          <t>est</t>
        </is>
      </c>
      <c r="K10" t="inlineStr">
        <is>
          <t>2 wk</t>
        </is>
      </c>
      <c r="L10" t="inlineStr">
        <is>
          <t>YES</t>
        </is>
      </c>
      <c r="M10" t="inlineStr"/>
    </row>
    <row r="11">
      <c r="A11" t="inlineStr">
        <is>
          <t>AB1-302</t>
        </is>
      </c>
      <c r="B11" t="inlineStr">
        <is>
          <t>Carlisle Turf Saver</t>
        </is>
      </c>
      <c r="C11" t="inlineStr">
        <is>
          <t>Turf tyre 20x8.00-10 on steel rim</t>
        </is>
      </c>
      <c r="D11" t="inlineStr">
        <is>
          <t>US tyre maker TBD (Titan, Quincy IL?)</t>
        </is>
      </c>
      <c r="E11" t="inlineStr">
        <is>
          <t>20x8.00-10</t>
        </is>
      </c>
      <c r="F11" s="4" t="inlineStr">
        <is>
          <t>NONE</t>
        </is>
      </c>
      <c r="G11" t="n">
        <v>4</v>
      </c>
      <c r="H11" t="n">
        <v>120</v>
      </c>
      <c r="I11">
        <f>G11*H11</f>
        <v/>
      </c>
      <c r="J11" t="inlineStr">
        <is>
          <t>est</t>
        </is>
      </c>
      <c r="K11" t="inlineStr">
        <is>
          <t>2 wk</t>
        </is>
      </c>
      <c r="L11" t="inlineStr"/>
      <c r="M11" t="inlineStr">
        <is>
          <t>no confirmed US-built small turf tyre; get COO</t>
        </is>
      </c>
    </row>
    <row r="12">
      <c r="A12" t="inlineStr">
        <is>
          <t>AB1-303</t>
        </is>
      </c>
      <c r="B12" t="inlineStr">
        <is>
          <t>Flipsky VESC (China)</t>
        </is>
      </c>
      <c r="C12" t="inlineStr">
        <is>
          <t>Brushless controller 60 V dual channel, CAN</t>
        </is>
      </c>
      <c r="D12" t="inlineStr">
        <is>
          <t>Roboteq / Nidec (St. Louis, MO HQ)</t>
        </is>
      </c>
      <c r="E12" t="inlineStr">
        <is>
          <t>FBL/GBL dual</t>
        </is>
      </c>
      <c r="F12" s="2" t="inlineStr">
        <is>
          <t>US?</t>
        </is>
      </c>
      <c r="G12" t="n">
        <v>2</v>
      </c>
      <c r="H12" t="n">
        <v>900</v>
      </c>
      <c r="I12">
        <f>G12*H12</f>
        <v/>
      </c>
      <c r="J12" t="inlineStr">
        <is>
          <t>est</t>
        </is>
      </c>
      <c r="K12" t="inlineStr">
        <is>
          <t>2-4 wk</t>
        </is>
      </c>
      <c r="L12" t="inlineStr"/>
      <c r="M12" t="inlineStr">
        <is>
          <t>manufacture location not stated, https://www.roboteq.com/</t>
        </is>
      </c>
    </row>
    <row r="13">
      <c r="A13" t="inlineStr">
        <is>
          <t>AB1-401</t>
        </is>
      </c>
      <c r="B13" t="inlineStr">
        <is>
          <t>EVE LF105 (China)</t>
        </is>
      </c>
      <c r="C13" t="inlineStr">
        <is>
          <t>LFP cell 3.2 V 105 Ah (16S2P)</t>
        </is>
      </c>
      <c r="D13" t="inlineStr">
        <is>
          <t>imported (no US small-volume source)</t>
        </is>
      </c>
      <c r="E13" t="inlineStr">
        <is>
          <t>EVE LF105</t>
        </is>
      </c>
      <c r="F13" s="4" t="inlineStr">
        <is>
          <t>NONE</t>
        </is>
      </c>
      <c r="G13" t="n">
        <v>32</v>
      </c>
      <c r="H13" t="n">
        <v>52</v>
      </c>
      <c r="I13">
        <f>G13*H13</f>
        <v/>
      </c>
      <c r="J13" t="inlineStr">
        <is>
          <t>est</t>
        </is>
      </c>
      <c r="K13" t="inlineStr">
        <is>
          <t>6-10 wk</t>
        </is>
      </c>
      <c r="L13" t="inlineStr"/>
      <c r="M13" t="inlineStr">
        <is>
          <t>US LFP plants (Tesla NV, LGES Lansing H2 2027) sell to OEM/ESS only, https://www.teslarati.com/tesla-us-lfp-battery-supply-lg-deal-report/</t>
        </is>
      </c>
    </row>
    <row r="14">
      <c r="A14" t="inlineStr">
        <is>
          <t>AB1-402</t>
        </is>
      </c>
      <c r="B14" t="inlineStr">
        <is>
          <t>Orion BMS 2</t>
        </is>
      </c>
      <c r="C14" t="inlineStr">
        <is>
          <t>BMS 16S with CAN</t>
        </is>
      </c>
      <c r="D14" t="inlineStr">
        <is>
          <t>Ewert Energy Systems (US)</t>
        </is>
      </c>
      <c r="E14" t="inlineStr">
        <is>
          <t>Orion BMS 2</t>
        </is>
      </c>
      <c r="F14" s="2" t="inlineStr">
        <is>
          <t>US?</t>
        </is>
      </c>
      <c r="G14" t="n">
        <v>1</v>
      </c>
      <c r="H14" t="n">
        <v>950</v>
      </c>
      <c r="I14">
        <f>G14*H14</f>
        <v/>
      </c>
      <c r="J14" t="inlineStr">
        <is>
          <t>est</t>
        </is>
      </c>
      <c r="K14" t="inlineStr">
        <is>
          <t>1-2 wk</t>
        </is>
      </c>
      <c r="L14" t="inlineStr"/>
      <c r="M14" t="inlineStr"/>
    </row>
    <row r="15">
      <c r="A15" t="inlineStr">
        <is>
          <t>AB1-403</t>
        </is>
      </c>
      <c r="B15" t="inlineStr">
        <is>
          <t>local</t>
        </is>
      </c>
      <c r="C15" t="inlineStr">
        <is>
          <t>Pack enclosure, US sheet metal</t>
        </is>
      </c>
      <c r="D15" t="inlineStr">
        <is>
          <t>local FL fabricator</t>
        </is>
      </c>
      <c r="E15" t="inlineStr">
        <is>
          <t>cad/step keel</t>
        </is>
      </c>
      <c r="F15" s="3" t="inlineStr">
        <is>
          <t>US</t>
        </is>
      </c>
      <c r="G15" t="n">
        <v>1</v>
      </c>
      <c r="H15" t="n">
        <v>650</v>
      </c>
      <c r="I15">
        <f>G15*H15</f>
        <v/>
      </c>
      <c r="J15" t="inlineStr">
        <is>
          <t>est</t>
        </is>
      </c>
      <c r="K15" t="inlineStr">
        <is>
          <t>2 wk</t>
        </is>
      </c>
      <c r="L15" t="inlineStr"/>
      <c r="M15" t="inlineStr"/>
    </row>
    <row r="16">
      <c r="A16" t="inlineStr">
        <is>
          <t>AB1-404</t>
        </is>
      </c>
      <c r="B16" t="inlineStr">
        <is>
          <t>assorted</t>
        </is>
      </c>
      <c r="C16" t="inlineStr">
        <is>
          <t>Busbars, fuses, sense harness</t>
        </is>
      </c>
      <c r="D16" t="inlineStr">
        <is>
          <t>US distributors</t>
        </is>
      </c>
      <c r="E16" t="inlineStr"/>
      <c r="F16" s="2" t="inlineStr">
        <is>
          <t>US?</t>
        </is>
      </c>
      <c r="G16" t="n">
        <v>1</v>
      </c>
      <c r="H16" t="n">
        <v>300</v>
      </c>
      <c r="I16">
        <f>G16*H16</f>
        <v/>
      </c>
      <c r="J16" t="inlineStr">
        <is>
          <t>est</t>
        </is>
      </c>
      <c r="K16" t="inlineStr">
        <is>
          <t>1 wk</t>
        </is>
      </c>
      <c r="L16" t="inlineStr"/>
      <c r="M16" t="inlineStr"/>
    </row>
    <row r="17">
      <c r="A17" t="inlineStr">
        <is>
          <t>AB1-405</t>
        </is>
      </c>
      <c r="B17" t="inlineStr">
        <is>
          <t>TE Kilovac EV200</t>
        </is>
      </c>
      <c r="C17" t="inlineStr">
        <is>
          <t>Main contactor 500 A sealed</t>
        </is>
      </c>
      <c r="D17" t="inlineStr">
        <is>
          <t>TE Kilovac (CA)</t>
        </is>
      </c>
      <c r="E17" t="inlineStr">
        <is>
          <t>EV200AAANA</t>
        </is>
      </c>
      <c r="F17" s="2" t="inlineStr">
        <is>
          <t>US?</t>
        </is>
      </c>
      <c r="G17" t="n">
        <v>1</v>
      </c>
      <c r="H17" t="n">
        <v>165</v>
      </c>
      <c r="I17">
        <f>G17*H17</f>
        <v/>
      </c>
      <c r="J17" t="inlineStr">
        <is>
          <t>est</t>
        </is>
      </c>
      <c r="K17" t="inlineStr">
        <is>
          <t>2 wk</t>
        </is>
      </c>
      <c r="L17" t="inlineStr"/>
      <c r="M17" t="inlineStr"/>
    </row>
    <row r="18">
      <c r="A18" t="inlineStr">
        <is>
          <t>AB1-406</t>
        </is>
      </c>
      <c r="B18" t="inlineStr">
        <is>
          <t>assorted</t>
        </is>
      </c>
      <c r="C18" t="inlineStr">
        <is>
          <t>Precharge relay + resistor</t>
        </is>
      </c>
      <c r="D18" t="inlineStr">
        <is>
          <t>US distributors</t>
        </is>
      </c>
      <c r="E18" t="inlineStr"/>
      <c r="F18" s="2" t="inlineStr">
        <is>
          <t>US?</t>
        </is>
      </c>
      <c r="G18" t="n">
        <v>1</v>
      </c>
      <c r="H18" t="n">
        <v>70</v>
      </c>
      <c r="I18">
        <f>G18*H18</f>
        <v/>
      </c>
      <c r="J18" t="inlineStr">
        <is>
          <t>est</t>
        </is>
      </c>
      <c r="K18" t="inlineStr">
        <is>
          <t>1 wk</t>
        </is>
      </c>
      <c r="L18" t="inlineStr"/>
      <c r="M18" t="inlineStr"/>
    </row>
    <row r="19">
      <c r="A19" t="inlineStr">
        <is>
          <t>AB1-407</t>
        </is>
      </c>
      <c r="B19" t="inlineStr">
        <is>
          <t>Littelfuse</t>
        </is>
      </c>
      <c r="C19" t="inlineStr">
        <is>
          <t>Main fuse 200 A Class T + holder</t>
        </is>
      </c>
      <c r="D19" t="inlineStr">
        <is>
          <t>Mersen (Newburyport, MA)</t>
        </is>
      </c>
      <c r="E19" t="inlineStr">
        <is>
          <t>A3T200 + holder</t>
        </is>
      </c>
      <c r="F19" s="2" t="inlineStr">
        <is>
          <t>US?</t>
        </is>
      </c>
      <c r="G19" t="n">
        <v>1</v>
      </c>
      <c r="H19" t="n">
        <v>110</v>
      </c>
      <c r="I19">
        <f>G19*H19</f>
        <v/>
      </c>
      <c r="J19" t="inlineStr">
        <is>
          <t>est</t>
        </is>
      </c>
      <c r="K19" t="inlineStr">
        <is>
          <t>1 wk</t>
        </is>
      </c>
      <c r="L19" t="inlineStr"/>
      <c r="M19" t="inlineStr"/>
    </row>
    <row r="20">
      <c r="A20" t="inlineStr">
        <is>
          <t>AB1-408</t>
        </is>
      </c>
      <c r="B20" t="inlineStr">
        <is>
          <t>Blue Sea 9003e</t>
        </is>
      </c>
      <c r="C20" t="inlineStr">
        <is>
          <t>Lockout disconnect</t>
        </is>
      </c>
      <c r="D20" t="inlineStr">
        <is>
          <t>Blue Sea Systems (Bellingham, WA)</t>
        </is>
      </c>
      <c r="E20" t="inlineStr">
        <is>
          <t>9003e</t>
        </is>
      </c>
      <c r="F20" s="2" t="inlineStr">
        <is>
          <t>US?</t>
        </is>
      </c>
      <c r="G20" t="n">
        <v>1</v>
      </c>
      <c r="H20" t="n">
        <v>70</v>
      </c>
      <c r="I20">
        <f>G20*H20</f>
        <v/>
      </c>
      <c r="J20" t="inlineStr">
        <is>
          <t>est</t>
        </is>
      </c>
      <c r="K20" t="inlineStr">
        <is>
          <t>1 wk</t>
        </is>
      </c>
      <c r="L20" t="inlineStr"/>
      <c r="M20" t="inlineStr"/>
    </row>
    <row r="21">
      <c r="A21" t="inlineStr">
        <is>
          <t>AB1-409</t>
        </is>
      </c>
      <c r="B21" t="inlineStr">
        <is>
          <t>Amphenol SurLok</t>
        </is>
      </c>
      <c r="C21" t="inlineStr">
        <is>
          <t>Battery connector 200 A keyed</t>
        </is>
      </c>
      <c r="D21" t="inlineStr">
        <is>
          <t>Anderson Power Products (Sterling, MA)</t>
        </is>
      </c>
      <c r="E21" t="inlineStr">
        <is>
          <t>SB175</t>
        </is>
      </c>
      <c r="F21" s="2" t="inlineStr">
        <is>
          <t>US?</t>
        </is>
      </c>
      <c r="G21" t="n">
        <v>1</v>
      </c>
      <c r="H21" t="n">
        <v>90</v>
      </c>
      <c r="I21">
        <f>G21*H21</f>
        <v/>
      </c>
      <c r="J21" t="inlineStr">
        <is>
          <t>est</t>
        </is>
      </c>
      <c r="K21" t="inlineStr">
        <is>
          <t>1 wk</t>
        </is>
      </c>
      <c r="L21" t="inlineStr"/>
      <c r="M21" t="inlineStr"/>
    </row>
    <row r="22">
      <c r="A22" t="inlineStr">
        <is>
          <t>AB1-410</t>
        </is>
      </c>
      <c r="B22" t="inlineStr">
        <is>
          <t>MEAN WELL (Taiwan)</t>
        </is>
      </c>
      <c r="C22" t="inlineStr">
        <is>
          <t>DC-DC 48-&gt;24 V 500 W module + carrier</t>
        </is>
      </c>
      <c r="D22" t="inlineStr">
        <is>
          <t>Vicor (Andover, MA)</t>
        </is>
      </c>
      <c r="E22" t="inlineStr">
        <is>
          <t>DCM4623 + board</t>
        </is>
      </c>
      <c r="F22" s="2" t="inlineStr">
        <is>
          <t>US?</t>
        </is>
      </c>
      <c r="G22" t="n">
        <v>1</v>
      </c>
      <c r="H22" t="n">
        <v>420</v>
      </c>
      <c r="I22">
        <f>G22*H22</f>
        <v/>
      </c>
      <c r="J22" t="inlineStr">
        <is>
          <t>est</t>
        </is>
      </c>
      <c r="K22" t="inlineStr">
        <is>
          <t>4-8 wk</t>
        </is>
      </c>
      <c r="L22" t="inlineStr">
        <is>
          <t>small: new carrier board</t>
        </is>
      </c>
      <c r="M22" t="inlineStr"/>
    </row>
    <row r="23">
      <c r="A23" t="inlineStr">
        <is>
          <t>AB1-411</t>
        </is>
      </c>
      <c r="B23" t="inlineStr">
        <is>
          <t>MEAN WELL (Taiwan)</t>
        </is>
      </c>
      <c r="C23" t="inlineStr">
        <is>
          <t>DC-DC 48-&gt;12 V 300 W module + carrier</t>
        </is>
      </c>
      <c r="D23" t="inlineStr">
        <is>
          <t>Vicor (Andover, MA)</t>
        </is>
      </c>
      <c r="E23" t="inlineStr">
        <is>
          <t>DCM3623 + board</t>
        </is>
      </c>
      <c r="F23" s="2" t="inlineStr">
        <is>
          <t>US?</t>
        </is>
      </c>
      <c r="G23" t="n">
        <v>1</v>
      </c>
      <c r="H23" t="n">
        <v>300</v>
      </c>
      <c r="I23">
        <f>G23*H23</f>
        <v/>
      </c>
      <c r="J23" t="inlineStr">
        <is>
          <t>est</t>
        </is>
      </c>
      <c r="K23" t="inlineStr">
        <is>
          <t>4-8 wk</t>
        </is>
      </c>
      <c r="L23" t="inlineStr"/>
      <c r="M23" t="inlineStr"/>
    </row>
    <row r="24">
      <c r="A24" t="inlineStr">
        <is>
          <t>AB1-412</t>
        </is>
      </c>
      <c r="B24" t="inlineStr">
        <is>
          <t>Phoenix Contact</t>
        </is>
      </c>
      <c r="C24" t="inlineStr">
        <is>
          <t>Fused distribution blocks</t>
        </is>
      </c>
      <c r="D24" t="inlineStr">
        <is>
          <t>Eaton Bussmann (US)</t>
        </is>
      </c>
      <c r="E24" t="inlineStr">
        <is>
          <t>assorted</t>
        </is>
      </c>
      <c r="F24" s="2" t="inlineStr">
        <is>
          <t>US?</t>
        </is>
      </c>
      <c r="G24" t="n">
        <v>1</v>
      </c>
      <c r="H24" t="n">
        <v>320</v>
      </c>
      <c r="I24">
        <f>G24*H24</f>
        <v/>
      </c>
      <c r="J24" t="inlineStr">
        <is>
          <t>est</t>
        </is>
      </c>
      <c r="K24" t="inlineStr">
        <is>
          <t>1 wk</t>
        </is>
      </c>
      <c r="L24" t="inlineStr"/>
      <c r="M24" t="inlineStr"/>
    </row>
    <row r="25">
      <c r="A25" t="inlineStr">
        <is>
          <t>AB1-413</t>
        </is>
      </c>
      <c r="B25" t="inlineStr">
        <is>
          <t>Staubli (CH)</t>
        </is>
      </c>
      <c r="C25" t="inlineStr">
        <is>
          <t>Dock charge contacts 2x 175 A</t>
        </is>
      </c>
      <c r="D25" t="inlineStr">
        <is>
          <t>Anderson Power Products (MA)</t>
        </is>
      </c>
      <c r="E25" t="inlineStr">
        <is>
          <t>SBX / custom</t>
        </is>
      </c>
      <c r="F25" s="2" t="inlineStr">
        <is>
          <t>US?</t>
        </is>
      </c>
      <c r="G25" t="n">
        <v>1</v>
      </c>
      <c r="H25" t="n">
        <v>250</v>
      </c>
      <c r="I25">
        <f>G25*H25</f>
        <v/>
      </c>
      <c r="J25" t="inlineStr">
        <is>
          <t>est</t>
        </is>
      </c>
      <c r="K25" t="inlineStr">
        <is>
          <t>2 wk</t>
        </is>
      </c>
      <c r="L25" t="inlineStr">
        <is>
          <t>small: contact block footprint</t>
        </is>
      </c>
      <c r="M25" t="inlineStr"/>
    </row>
    <row r="26">
      <c r="A26" t="inlineStr">
        <is>
          <t>AB1-501</t>
        </is>
      </c>
      <c r="B26" t="inlineStr">
        <is>
          <t>Pilz PNOZ s4 (DE)</t>
        </is>
      </c>
      <c r="C26" t="inlineStr">
        <is>
          <t>Safety controller, dual-channel, PL d/e</t>
        </is>
      </c>
      <c r="D26" t="inlineStr">
        <is>
          <t>Banner Engineering (Minneapolis, MN)</t>
        </is>
      </c>
      <c r="E26" t="inlineStr">
        <is>
          <t>XS26-2DE</t>
        </is>
      </c>
      <c r="F26" s="2" t="inlineStr">
        <is>
          <t>US?</t>
        </is>
      </c>
      <c r="G26" t="n">
        <v>1</v>
      </c>
      <c r="H26" t="n">
        <v>650</v>
      </c>
      <c r="I26">
        <f>G26*H26</f>
        <v/>
      </c>
      <c r="J26" t="inlineStr">
        <is>
          <t>est</t>
        </is>
      </c>
      <c r="K26" t="inlineStr">
        <is>
          <t>1-2 wk</t>
        </is>
      </c>
      <c r="L26" t="inlineStr"/>
      <c r="M26" t="inlineStr"/>
    </row>
    <row r="27">
      <c r="A27" t="inlineStr">
        <is>
          <t>AB1-502</t>
        </is>
      </c>
      <c r="B27" t="inlineStr">
        <is>
          <t>IDEC (JP)</t>
        </is>
      </c>
      <c r="C27" t="inlineStr">
        <is>
          <t>E-stop button IP69K</t>
        </is>
      </c>
      <c r="D27" t="inlineStr">
        <is>
          <t>Banner Engineering</t>
        </is>
      </c>
      <c r="E27" t="inlineStr">
        <is>
          <t>SSA-EB1PL</t>
        </is>
      </c>
      <c r="F27" s="2" t="inlineStr">
        <is>
          <t>US?</t>
        </is>
      </c>
      <c r="G27" t="n">
        <v>4</v>
      </c>
      <c r="H27" t="n">
        <v>90</v>
      </c>
      <c r="I27">
        <f>G27*H27</f>
        <v/>
      </c>
      <c r="J27" t="inlineStr">
        <is>
          <t>est</t>
        </is>
      </c>
      <c r="K27" t="inlineStr">
        <is>
          <t>1-2 wk</t>
        </is>
      </c>
      <c r="L27" t="inlineStr"/>
      <c r="M27" t="inlineStr"/>
    </row>
    <row r="28">
      <c r="A28" t="inlineStr">
        <is>
          <t>AB1-503</t>
        </is>
      </c>
      <c r="B28" t="inlineStr">
        <is>
          <t>HRI (Canada)</t>
        </is>
      </c>
      <c r="C28" t="inlineStr">
        <is>
          <t>Wireless E-stop</t>
        </is>
      </c>
      <c r="D28" t="inlineStr">
        <is>
          <t>FORT Robotics (Philadelphia, PA)</t>
        </is>
      </c>
      <c r="E28" t="inlineStr">
        <is>
          <t>Wireless Safety Controller</t>
        </is>
      </c>
      <c r="F28" s="2" t="inlineStr">
        <is>
          <t>US?</t>
        </is>
      </c>
      <c r="G28" t="n">
        <v>1</v>
      </c>
      <c r="H28" t="n">
        <v>2500</v>
      </c>
      <c r="I28">
        <f>G28*H28</f>
        <v/>
      </c>
      <c r="J28" t="inlineStr">
        <is>
          <t>est</t>
        </is>
      </c>
      <c r="K28" t="inlineStr">
        <is>
          <t>4-6 wk</t>
        </is>
      </c>
      <c r="L28" t="inlineStr"/>
      <c r="M28" t="inlineStr">
        <is>
          <t>origin not confirmed</t>
        </is>
      </c>
    </row>
    <row r="29">
      <c r="A29" t="inlineStr">
        <is>
          <t>AB1-504</t>
        </is>
      </c>
      <c r="B29" t="inlineStr">
        <is>
          <t>Mayser (DE)</t>
        </is>
      </c>
      <c r="C29" t="inlineStr">
        <is>
          <t>Safety edge bumper + controller</t>
        </is>
      </c>
      <c r="D29" t="inlineStr">
        <is>
          <t>Miller Edge (West Grove, PA)</t>
        </is>
      </c>
      <c r="E29" t="inlineStr">
        <is>
          <t>ME series + controller</t>
        </is>
      </c>
      <c r="F29" s="2" t="inlineStr">
        <is>
          <t>US?</t>
        </is>
      </c>
      <c r="G29" t="n">
        <v>2</v>
      </c>
      <c r="H29" t="n">
        <v>520</v>
      </c>
      <c r="I29">
        <f>G29*H29</f>
        <v/>
      </c>
      <c r="J29" t="inlineStr">
        <is>
          <t>est</t>
        </is>
      </c>
      <c r="K29" t="inlineStr">
        <is>
          <t>2-3 wk</t>
        </is>
      </c>
      <c r="L29" t="inlineStr"/>
      <c r="M29" t="inlineStr"/>
    </row>
    <row r="30">
      <c r="A30" t="inlineStr">
        <is>
          <t>AB1-505</t>
        </is>
      </c>
      <c r="B30" t="inlineStr">
        <is>
          <t>Schneider</t>
        </is>
      </c>
      <c r="C30" t="inlineStr">
        <is>
          <t>Safety contactors</t>
        </is>
      </c>
      <c r="D30" t="inlineStr">
        <is>
          <t>Eaton (US)</t>
        </is>
      </c>
      <c r="E30" t="inlineStr">
        <is>
          <t>XTCE025</t>
        </is>
      </c>
      <c r="F30" s="2" t="inlineStr">
        <is>
          <t>US?</t>
        </is>
      </c>
      <c r="G30" t="n">
        <v>2</v>
      </c>
      <c r="H30" t="n">
        <v>140</v>
      </c>
      <c r="I30">
        <f>G30*H30</f>
        <v/>
      </c>
      <c r="J30" t="inlineStr">
        <is>
          <t>est</t>
        </is>
      </c>
      <c r="K30" t="inlineStr">
        <is>
          <t>1 wk</t>
        </is>
      </c>
      <c r="L30" t="inlineStr"/>
      <c r="M30" t="inlineStr"/>
    </row>
    <row r="31">
      <c r="A31" t="inlineStr">
        <is>
          <t>AB1-506</t>
        </is>
      </c>
      <c r="B31" t="inlineStr">
        <is>
          <t>Banner TL50</t>
        </is>
      </c>
      <c r="C31" t="inlineStr">
        <is>
          <t>Beacon</t>
        </is>
      </c>
      <c r="D31" t="inlineStr">
        <is>
          <t>Banner Engineering</t>
        </is>
      </c>
      <c r="E31" t="inlineStr">
        <is>
          <t>TL50 Pro</t>
        </is>
      </c>
      <c r="F31" s="2" t="inlineStr">
        <is>
          <t>US?</t>
        </is>
      </c>
      <c r="G31" t="n">
        <v>1</v>
      </c>
      <c r="H31" t="n">
        <v>180</v>
      </c>
      <c r="I31">
        <f>G31*H31</f>
        <v/>
      </c>
      <c r="J31" t="inlineStr">
        <is>
          <t>est</t>
        </is>
      </c>
      <c r="K31" t="inlineStr">
        <is>
          <t>1 wk</t>
        </is>
      </c>
      <c r="L31" t="inlineStr"/>
      <c r="M31" t="inlineStr"/>
    </row>
    <row r="32">
      <c r="A32" t="inlineStr">
        <is>
          <t>AB1-601</t>
        </is>
      </c>
      <c r="B32" t="inlineStr">
        <is>
          <t>Jetson AGX Orin</t>
        </is>
      </c>
      <c r="C32" t="inlineStr">
        <is>
          <t>Edge AI computer 64 GB</t>
        </is>
      </c>
      <c r="D32" t="inlineStr">
        <is>
          <t>NVIDIA (made in Asia)</t>
        </is>
      </c>
      <c r="E32" t="inlineStr">
        <is>
          <t>Jetson AGX Orin 64GB</t>
        </is>
      </c>
      <c r="F32" s="4" t="inlineStr">
        <is>
          <t>NONE</t>
        </is>
      </c>
      <c r="G32" t="n">
        <v>1</v>
      </c>
      <c r="H32" t="n">
        <v>3499</v>
      </c>
      <c r="I32">
        <f>G32*H32</f>
        <v/>
      </c>
      <c r="J32" t="inlineStr">
        <is>
          <t>quote</t>
        </is>
      </c>
      <c r="K32" t="inlineStr">
        <is>
          <t>2-4 wk</t>
        </is>
      </c>
      <c r="L32" t="inlineStr"/>
      <c r="M32" t="inlineStr">
        <is>
          <t>no US-made AI compute module exists at this class</t>
        </is>
      </c>
    </row>
    <row r="33">
      <c r="A33" t="inlineStr">
        <is>
          <t>AB1-602</t>
        </is>
      </c>
      <c r="B33" t="inlineStr">
        <is>
          <t>NVMe SSD</t>
        </is>
      </c>
      <c r="C33" t="inlineStr">
        <is>
          <t>Industrial NVMe 2 TB</t>
        </is>
      </c>
      <c r="D33" t="inlineStr">
        <is>
          <t>imported</t>
        </is>
      </c>
      <c r="E33" t="inlineStr"/>
      <c r="F33" s="4" t="inlineStr">
        <is>
          <t>NONE</t>
        </is>
      </c>
      <c r="G33" t="n">
        <v>1</v>
      </c>
      <c r="H33" t="n">
        <v>220</v>
      </c>
      <c r="I33">
        <f>G33*H33</f>
        <v/>
      </c>
      <c r="J33" t="inlineStr">
        <is>
          <t>est</t>
        </is>
      </c>
      <c r="K33" t="inlineStr">
        <is>
          <t>1 wk</t>
        </is>
      </c>
      <c r="L33" t="inlineStr"/>
      <c r="M33" t="inlineStr"/>
    </row>
    <row r="34">
      <c r="A34" t="inlineStr">
        <is>
          <t>AB1-603</t>
        </is>
      </c>
      <c r="B34" t="inlineStr">
        <is>
          <t>Teensy 4.1</t>
        </is>
      </c>
      <c r="C34" t="inlineStr">
        <is>
          <t>Real-time I/O MCU + CAN board</t>
        </is>
      </c>
      <c r="D34" t="inlineStr">
        <is>
          <t>PJRC (Sherwood, OR) + US CAN carrier</t>
        </is>
      </c>
      <c r="E34" t="inlineStr">
        <is>
          <t>Teensy 4.1</t>
        </is>
      </c>
      <c r="F34" s="2" t="inlineStr">
        <is>
          <t>US?</t>
        </is>
      </c>
      <c r="G34" t="n">
        <v>1</v>
      </c>
      <c r="H34" t="n">
        <v>95</v>
      </c>
      <c r="I34">
        <f>G34*H34</f>
        <v/>
      </c>
      <c r="J34" t="inlineStr">
        <is>
          <t>est</t>
        </is>
      </c>
      <c r="K34" t="inlineStr">
        <is>
          <t>1 wk</t>
        </is>
      </c>
      <c r="L34" t="inlineStr"/>
      <c r="M34" t="inlineStr"/>
    </row>
    <row r="35">
      <c r="A35" t="inlineStr">
        <is>
          <t>AB1-604</t>
        </is>
      </c>
      <c r="B35" t="inlineStr">
        <is>
          <t>Teltonika RUTX50 (LT)</t>
        </is>
      </c>
      <c r="C35" t="inlineStr">
        <is>
          <t>5G industrial router</t>
        </is>
      </c>
      <c r="D35" t="inlineStr">
        <is>
          <t>Digi International (MN)</t>
        </is>
      </c>
      <c r="E35" t="inlineStr">
        <is>
          <t>IX25 (TAA compliant)</t>
        </is>
      </c>
      <c r="F35" s="4" t="inlineStr">
        <is>
          <t>NONE</t>
        </is>
      </c>
      <c r="G35" t="n">
        <v>1</v>
      </c>
      <c r="H35" t="n">
        <v>1100</v>
      </c>
      <c r="I35">
        <f>G35*H35</f>
        <v/>
      </c>
      <c r="J35" t="inlineStr">
        <is>
          <t>est</t>
        </is>
      </c>
      <c r="K35" t="inlineStr">
        <is>
          <t>2-4 wk</t>
        </is>
      </c>
      <c r="L35" t="inlineStr"/>
      <c r="M35" t="inlineStr">
        <is>
          <t>TAA-compliant is not US-made; no US-built 5G router found, https://www.digi.com/products/networking/cellular-routers/industrial</t>
        </is>
      </c>
    </row>
    <row r="36">
      <c r="A36" t="inlineStr">
        <is>
          <t>AB1-605</t>
        </is>
      </c>
      <c r="B36" t="inlineStr">
        <is>
          <t>Taoglas/Poynting</t>
        </is>
      </c>
      <c r="C36" t="inlineStr">
        <is>
          <t>5G + Wi-Fi antennas</t>
        </is>
      </c>
      <c r="D36" t="inlineStr">
        <is>
          <t>PCTEL (Bloomingdale, IL)</t>
        </is>
      </c>
      <c r="E36" t="inlineStr"/>
      <c r="F36" s="2" t="inlineStr">
        <is>
          <t>US?</t>
        </is>
      </c>
      <c r="G36" t="n">
        <v>1</v>
      </c>
      <c r="H36" t="n">
        <v>200</v>
      </c>
      <c r="I36">
        <f>G36*H36</f>
        <v/>
      </c>
      <c r="J36" t="inlineStr">
        <is>
          <t>est</t>
        </is>
      </c>
      <c r="K36" t="inlineStr">
        <is>
          <t>2 wk</t>
        </is>
      </c>
      <c r="L36" t="inlineStr"/>
      <c r="M36" t="inlineStr"/>
    </row>
    <row r="37">
      <c r="A37" t="inlineStr">
        <is>
          <t>AB1-606</t>
        </is>
      </c>
      <c r="B37" t="inlineStr">
        <is>
          <t>Moxa (TW)</t>
        </is>
      </c>
      <c r="C37" t="inlineStr">
        <is>
          <t>Industrial Ethernet switch, 10+ ports (cameras now on GbE)</t>
        </is>
      </c>
      <c r="D37" t="inlineStr">
        <is>
          <t>Red Lion (York, PA)</t>
        </is>
      </c>
      <c r="E37" t="inlineStr">
        <is>
          <t>NT-series</t>
        </is>
      </c>
      <c r="F37" s="2" t="inlineStr">
        <is>
          <t>US?</t>
        </is>
      </c>
      <c r="G37" t="n">
        <v>1</v>
      </c>
      <c r="H37" t="n">
        <v>450</v>
      </c>
      <c r="I37">
        <f>G37*H37</f>
        <v/>
      </c>
      <c r="J37" t="inlineStr">
        <is>
          <t>est</t>
        </is>
      </c>
      <c r="K37" t="inlineStr">
        <is>
          <t>2 wk</t>
        </is>
      </c>
      <c r="L37" t="inlineStr">
        <is>
          <t>small: more ports</t>
        </is>
      </c>
      <c r="M37" t="inlineStr"/>
    </row>
    <row r="38">
      <c r="A38" t="inlineStr">
        <is>
          <t>AB1-607</t>
        </is>
      </c>
      <c r="B38" t="inlineStr">
        <is>
          <t>USB hub</t>
        </is>
      </c>
      <c r="C38" t="inlineStr">
        <is>
          <t>Powered USB3 hub (D405s only)</t>
        </is>
      </c>
      <c r="D38" t="inlineStr">
        <is>
          <t>imported</t>
        </is>
      </c>
      <c r="E38" t="inlineStr"/>
      <c r="F38" s="4" t="inlineStr">
        <is>
          <t>NONE</t>
        </is>
      </c>
      <c r="G38" t="n">
        <v>1</v>
      </c>
      <c r="H38" t="n">
        <v>160</v>
      </c>
      <c r="I38">
        <f>G38*H38</f>
        <v/>
      </c>
      <c r="J38" t="inlineStr">
        <is>
          <t>est</t>
        </is>
      </c>
      <c r="K38" t="inlineStr">
        <is>
          <t>1 wk</t>
        </is>
      </c>
      <c r="L38" t="inlineStr"/>
      <c r="M38" t="inlineStr"/>
    </row>
    <row r="39">
      <c r="A39" t="inlineStr">
        <is>
          <t>AB1-701</t>
        </is>
      </c>
      <c r="B39" t="inlineStr">
        <is>
          <t>Livox Mid-360 (China)</t>
        </is>
      </c>
      <c r="C39" t="inlineStr">
        <is>
          <t>3D lidar 90 deg VFOV</t>
        </is>
      </c>
      <c r="D39" t="inlineStr">
        <is>
          <t>Ouster (San Francisco)</t>
        </is>
      </c>
      <c r="E39" t="inlineStr">
        <is>
          <t>Ouster OS0-64 (made in US and Thailand; specify US-built units)</t>
        </is>
      </c>
      <c r="F39" s="5" t="inlineStr">
        <is>
          <t>US-ASSY</t>
        </is>
      </c>
      <c r="G39" t="n">
        <v>1</v>
      </c>
      <c r="H39" t="n">
        <v>12000</v>
      </c>
      <c r="I39">
        <f>G39*H39</f>
        <v/>
      </c>
      <c r="J39" t="inlineStr">
        <is>
          <t>quote</t>
        </is>
      </c>
      <c r="K39" t="inlineStr">
        <is>
          <t>4-8 wk</t>
        </is>
      </c>
      <c r="L39" t="inlineStr">
        <is>
          <t>small: 87 mm puck, new pedestal</t>
        </is>
      </c>
      <c r="M39" t="inlineStr">
        <is>
          <t>made in US and Thailand per https://en.wikipedia.org/wiki/Ouster_(company); price from https://mylidarstore.com/products/os0-os1-os2 (sold out, get quote)</t>
        </is>
      </c>
    </row>
    <row r="40">
      <c r="A40" t="inlineStr">
        <is>
          <t>AB1-702</t>
        </is>
      </c>
      <c r="B40" t="inlineStr">
        <is>
          <t>ArduSimple (ES)</t>
        </is>
      </c>
      <c r="C40" t="inlineStr">
        <is>
          <t>Dual-antenna RTK heading receiver</t>
        </is>
      </c>
      <c r="D40" t="inlineStr">
        <is>
          <t>Hemisphere GNSS (Tempe, AZ)</t>
        </is>
      </c>
      <c r="E40" t="inlineStr">
        <is>
          <t>Vector VR1000</t>
        </is>
      </c>
      <c r="F40" s="2" t="inlineStr">
        <is>
          <t>US?</t>
        </is>
      </c>
      <c r="G40" t="n">
        <v>1</v>
      </c>
      <c r="H40" t="n">
        <v>4500</v>
      </c>
      <c r="I40">
        <f>G40*H40</f>
        <v/>
      </c>
      <c r="J40" t="inlineStr">
        <is>
          <t>est</t>
        </is>
      </c>
      <c r="K40" t="inlineStr">
        <is>
          <t>2-4 wk</t>
        </is>
      </c>
      <c r="L40" t="inlineStr">
        <is>
          <t>small: larger receiver + antennas</t>
        </is>
      </c>
      <c r="M40" t="inlineStr">
        <is>
          <t>designs and manufactures; plant not stated, https://www.hemispheregnss.com/products/receivers/</t>
        </is>
      </c>
    </row>
    <row r="41">
      <c r="A41" t="inlineStr">
        <is>
          <t>AB1-703</t>
        </is>
      </c>
      <c r="B41" t="inlineStr">
        <is>
          <t>MicroStrain CV7</t>
        </is>
      </c>
      <c r="C41" t="inlineStr">
        <is>
          <t>AHRS IMU</t>
        </is>
      </c>
      <c r="D41" t="inlineStr">
        <is>
          <t>VectorNav</t>
        </is>
      </c>
      <c r="E41" t="inlineStr">
        <is>
          <t>VN-100 Rugged</t>
        </is>
      </c>
      <c r="F41" s="3" t="inlineStr">
        <is>
          <t>US</t>
        </is>
      </c>
      <c r="G41" t="n">
        <v>1</v>
      </c>
      <c r="H41" t="n">
        <v>1200</v>
      </c>
      <c r="I41">
        <f>G41*H41</f>
        <v/>
      </c>
      <c r="J41" t="inlineStr">
        <is>
          <t>est</t>
        </is>
      </c>
      <c r="K41" t="inlineStr">
        <is>
          <t>1 day</t>
        </is>
      </c>
      <c r="L41" t="inlineStr"/>
      <c r="M41" t="inlineStr">
        <is>
          <t>'Made in the USA' https://www.vectornav.com/products/detail/vn-100</t>
        </is>
      </c>
    </row>
    <row r="42">
      <c r="A42" t="inlineStr">
        <is>
          <t>AB1-801</t>
        </is>
      </c>
      <c r="B42" t="inlineStr">
        <is>
          <t>Fibox (FI)</t>
        </is>
      </c>
      <c r="C42" t="inlineStr">
        <is>
          <t>IP66 enclosure ~600x300x150</t>
        </is>
      </c>
      <c r="D42" t="inlineStr">
        <is>
          <t>nVent Hoffman (Anoka, MN)</t>
        </is>
      </c>
      <c r="E42" t="inlineStr"/>
      <c r="F42" s="2" t="inlineStr">
        <is>
          <t>US?</t>
        </is>
      </c>
      <c r="G42" t="n">
        <v>1</v>
      </c>
      <c r="H42" t="n">
        <v>420</v>
      </c>
      <c r="I42">
        <f>G42*H42</f>
        <v/>
      </c>
      <c r="J42" t="inlineStr">
        <is>
          <t>est</t>
        </is>
      </c>
      <c r="K42" t="inlineStr">
        <is>
          <t>2 wk</t>
        </is>
      </c>
      <c r="L42" t="inlineStr"/>
      <c r="M42" t="inlineStr"/>
    </row>
    <row r="43">
      <c r="A43" t="inlineStr">
        <is>
          <t>AB1-802</t>
        </is>
      </c>
      <c r="B43" t="inlineStr">
        <is>
          <t>EIC ThermoTEC</t>
        </is>
      </c>
      <c r="C43" t="inlineStr">
        <is>
          <t>Enclosure TEC cooler 24 V</t>
        </is>
      </c>
      <c r="D43" t="inlineStr">
        <is>
          <t>EIC Solutions (Warminster, PA)</t>
        </is>
      </c>
      <c r="E43" t="inlineStr">
        <is>
          <t>AAC-141</t>
        </is>
      </c>
      <c r="F43" s="2" t="inlineStr">
        <is>
          <t>US?</t>
        </is>
      </c>
      <c r="G43" t="n">
        <v>1</v>
      </c>
      <c r="H43" t="n">
        <v>1100</v>
      </c>
      <c r="I43">
        <f>G43*H43</f>
        <v/>
      </c>
      <c r="J43" t="inlineStr">
        <is>
          <t>est</t>
        </is>
      </c>
      <c r="K43" t="inlineStr">
        <is>
          <t>2-4 wk</t>
        </is>
      </c>
      <c r="L43" t="inlineStr"/>
      <c r="M43" t="inlineStr"/>
    </row>
    <row r="44">
      <c r="A44" t="inlineStr">
        <is>
          <t>AB1-803</t>
        </is>
      </c>
      <c r="B44" t="inlineStr">
        <is>
          <t>TE/Amphenol</t>
        </is>
      </c>
      <c r="C44" t="inlineStr">
        <is>
          <t>Harness: wire, connectors, glands</t>
        </is>
      </c>
      <c r="D44" t="inlineStr">
        <is>
          <t>US wire + Amphenol/ITT US lines</t>
        </is>
      </c>
      <c r="E44" t="inlineStr"/>
      <c r="F44" s="2" t="inlineStr">
        <is>
          <t>US?</t>
        </is>
      </c>
      <c r="G44" t="n">
        <v>1</v>
      </c>
      <c r="H44" t="n">
        <v>900</v>
      </c>
      <c r="I44">
        <f>G44*H44</f>
        <v/>
      </c>
      <c r="J44" t="inlineStr">
        <is>
          <t>est</t>
        </is>
      </c>
      <c r="K44" t="inlineStr">
        <is>
          <t>2 wk</t>
        </is>
      </c>
      <c r="L44" t="inlineStr"/>
      <c r="M44" t="inlineStr"/>
    </row>
    <row r="45">
      <c r="A45" t="inlineStr">
        <is>
          <t>AB1-804</t>
        </is>
      </c>
      <c r="B45" t="inlineStr">
        <is>
          <t>Rigid Industries</t>
        </is>
      </c>
      <c r="C45" t="inlineStr">
        <is>
          <t>LED flood 24 V</t>
        </is>
      </c>
      <c r="D45" t="inlineStr">
        <is>
          <t>Rigid Industries (Gilbert, AZ)</t>
        </is>
      </c>
      <c r="E45" t="inlineStr">
        <is>
          <t>D-Series Pro</t>
        </is>
      </c>
      <c r="F45" s="2" t="inlineStr">
        <is>
          <t>US?</t>
        </is>
      </c>
      <c r="G45" t="n">
        <v>4</v>
      </c>
      <c r="H45" t="n">
        <v>180</v>
      </c>
      <c r="I45">
        <f>G45*H45</f>
        <v/>
      </c>
      <c r="J45" t="inlineStr">
        <is>
          <t>est</t>
        </is>
      </c>
      <c r="K45" t="inlineStr">
        <is>
          <t>1 wk</t>
        </is>
      </c>
      <c r="L45" t="inlineStr"/>
      <c r="M45" t="inlineStr"/>
    </row>
    <row r="46">
      <c r="A46" t="inlineStr">
        <is>
          <t>HM1-001</t>
        </is>
      </c>
      <c r="B46" t="inlineStr">
        <is>
          <t>FAIRINO FR5 (China)</t>
        </is>
      </c>
      <c r="C46" t="inlineStr">
        <is>
          <t>6-axis cobot 7 kg / 950 mm, IP65 (design)</t>
        </is>
      </c>
      <c r="D46" t="inlineStr">
        <is>
          <t>Standard Bots (Glen Cove, NY)</t>
        </is>
      </c>
      <c r="E46" t="inlineStr">
        <is>
          <t>Spark</t>
        </is>
      </c>
      <c r="F46" s="5" t="inlineStr">
        <is>
          <t>US-ASSY</t>
        </is>
      </c>
      <c r="G46" t="n">
        <v>2</v>
      </c>
      <c r="H46" t="n">
        <v>29500</v>
      </c>
      <c r="I46">
        <f>G46*H46</f>
        <v/>
      </c>
      <c r="J46" t="inlineStr">
        <is>
          <t>quote</t>
        </is>
      </c>
      <c r="K46" t="inlineStr">
        <is>
          <t>2-6 wk</t>
        </is>
      </c>
      <c r="L46" t="inlineStr">
        <is>
          <t>YES: new base bolt pattern, new kinematics, AC power</t>
        </is>
      </c>
      <c r="M46" t="inlineStr">
        <is>
          <t>'designed and assembled in Glen Cove, NY' https://standardbots.com/products/spark</t>
        </is>
      </c>
    </row>
    <row r="47">
      <c r="A47" t="inlineStr">
        <is>
          <t>HM1-001b</t>
        </is>
      </c>
      <c r="B47" t="inlineStr">
        <is>
          <t>-</t>
        </is>
      </c>
      <c r="C47" t="inlineStr">
        <is>
          <t>48 V DC to 120 VAC pure-sine inverter 2 kW (arm controller supply)</t>
        </is>
      </c>
      <c r="D47" t="inlineStr">
        <is>
          <t>Magnum Energy (Everett, WA)</t>
        </is>
      </c>
      <c r="E47" t="inlineStr">
        <is>
          <t>MS2012-class</t>
        </is>
      </c>
      <c r="F47" s="2" t="inlineStr">
        <is>
          <t>US?</t>
        </is>
      </c>
      <c r="G47" t="n">
        <v>2</v>
      </c>
      <c r="H47" t="n">
        <v>1400</v>
      </c>
      <c r="I47">
        <f>G47*H47</f>
        <v/>
      </c>
      <c r="J47" t="inlineStr">
        <is>
          <t>est</t>
        </is>
      </c>
      <c r="K47" t="inlineStr">
        <is>
          <t>2-4 wk</t>
        </is>
      </c>
      <c r="L47" t="inlineStr">
        <is>
          <t>YES: 2x ~10 kg inverters + ventilation under deck</t>
        </is>
      </c>
      <c r="M47" t="inlineStr">
        <is>
          <t>Spark lists no DC input; ask Standard Bots for a DC controller first</t>
        </is>
      </c>
    </row>
    <row r="48">
      <c r="A48" t="inlineStr">
        <is>
          <t>HM1-002</t>
        </is>
      </c>
      <c r="B48" t="inlineStr">
        <is>
          <t>igus</t>
        </is>
      </c>
      <c r="C48" t="inlineStr">
        <is>
          <t>Arm dress pack</t>
        </is>
      </c>
      <c r="D48" t="inlineStr">
        <is>
          <t>igus (East Providence, RI plant)</t>
        </is>
      </c>
      <c r="E48" t="inlineStr">
        <is>
          <t>triflex R</t>
        </is>
      </c>
      <c r="F48" s="2" t="inlineStr">
        <is>
          <t>US?</t>
        </is>
      </c>
      <c r="G48" t="n">
        <v>2</v>
      </c>
      <c r="H48" t="n">
        <v>250</v>
      </c>
      <c r="I48">
        <f>G48*H48</f>
        <v/>
      </c>
      <c r="J48" t="inlineStr">
        <is>
          <t>est</t>
        </is>
      </c>
      <c r="K48" t="inlineStr">
        <is>
          <t>2 wk</t>
        </is>
      </c>
      <c r="L48" t="inlineStr"/>
      <c r="M48" t="inlineStr"/>
    </row>
    <row r="49">
      <c r="A49" t="inlineStr">
        <is>
          <t>HM1-003</t>
        </is>
      </c>
      <c r="B49" t="inlineStr">
        <is>
          <t>cover</t>
        </is>
      </c>
      <c r="C49" t="inlineStr">
        <is>
          <t>Arm rain cover (Spark IP65 design, keep cover for fertiliser spray)</t>
        </is>
      </c>
      <c r="D49" t="inlineStr">
        <is>
          <t>US sewn</t>
        </is>
      </c>
      <c r="E49" t="inlineStr"/>
      <c r="F49" s="3" t="inlineStr">
        <is>
          <t>US</t>
        </is>
      </c>
      <c r="G49" t="n">
        <v>2</v>
      </c>
      <c r="H49" t="n">
        <v>600</v>
      </c>
      <c r="I49">
        <f>G49*H49</f>
        <v/>
      </c>
      <c r="J49" t="inlineStr">
        <is>
          <t>est</t>
        </is>
      </c>
      <c r="K49" t="inlineStr">
        <is>
          <t>3 wk</t>
        </is>
      </c>
      <c r="L49" t="inlineStr"/>
      <c r="M49" t="inlineStr"/>
    </row>
    <row r="50">
      <c r="A50" t="inlineStr">
        <is>
          <t>HM1-101</t>
        </is>
      </c>
      <c r="B50" t="inlineStr">
        <is>
          <t>plate</t>
        </is>
      </c>
      <c r="C50" t="inlineStr">
        <is>
          <t>Arm mount plate 20 mm 6061</t>
        </is>
      </c>
      <c r="D50" t="inlineStr">
        <is>
          <t>US CNC</t>
        </is>
      </c>
      <c r="E50" t="inlineStr">
        <is>
          <t>TODO Spark bolt pattern</t>
        </is>
      </c>
      <c r="F50" s="2" t="inlineStr">
        <is>
          <t>US?</t>
        </is>
      </c>
      <c r="G50" t="n">
        <v>2</v>
      </c>
      <c r="H50" t="n">
        <v>160</v>
      </c>
      <c r="I50">
        <f>G50*H50</f>
        <v/>
      </c>
      <c r="J50" t="inlineStr">
        <is>
          <t>est</t>
        </is>
      </c>
      <c r="K50" t="inlineStr">
        <is>
          <t>1-2 wk</t>
        </is>
      </c>
      <c r="L50" t="inlineStr">
        <is>
          <t>YES</t>
        </is>
      </c>
      <c r="M50" t="inlineStr"/>
    </row>
    <row r="51">
      <c r="A51" t="inlineStr">
        <is>
          <t>HM1-102</t>
        </is>
      </c>
      <c r="B51" t="inlineStr">
        <is>
          <t>80/20 1530</t>
        </is>
      </c>
      <c r="C51" t="inlineStr">
        <is>
          <t>Mast profile + gussets</t>
        </is>
      </c>
      <c r="D51" t="inlineStr">
        <is>
          <t>80/20 Inc.</t>
        </is>
      </c>
      <c r="E51" t="inlineStr">
        <is>
          <t>1530</t>
        </is>
      </c>
      <c r="F51" s="2" t="inlineStr">
        <is>
          <t>US?</t>
        </is>
      </c>
      <c r="G51" t="n">
        <v>1</v>
      </c>
      <c r="H51" t="n">
        <v>520</v>
      </c>
      <c r="I51">
        <f>G51*H51</f>
        <v/>
      </c>
      <c r="J51" t="inlineStr">
        <is>
          <t>est</t>
        </is>
      </c>
      <c r="K51" t="inlineStr">
        <is>
          <t>1 wk</t>
        </is>
      </c>
      <c r="L51" t="inlineStr"/>
      <c r="M51" t="inlineStr"/>
    </row>
    <row r="52">
      <c r="A52" t="inlineStr">
        <is>
          <t>HM1-201</t>
        </is>
      </c>
      <c r="B52" t="inlineStr">
        <is>
          <t>ZED X (made abroad)</t>
        </is>
      </c>
      <c r="C52" t="inlineStr">
        <is>
          <t>Outdoor stereo camera, GbE</t>
        </is>
      </c>
      <c r="D52" t="inlineStr">
        <is>
          <t>Carnegie Robotics (Pittsburgh, PA)</t>
        </is>
      </c>
      <c r="E52" t="inlineStr">
        <is>
          <t>Carnegie Robotics MultiSense S27 (built in USA)</t>
        </is>
      </c>
      <c r="F52" s="3" t="inlineStr">
        <is>
          <t>US</t>
        </is>
      </c>
      <c r="G52" t="n">
        <v>2</v>
      </c>
      <c r="H52" t="n">
        <v>1995</v>
      </c>
      <c r="I52">
        <f>G52*H52</f>
        <v/>
      </c>
      <c r="J52" t="inlineStr">
        <is>
          <t>quote</t>
        </is>
      </c>
      <c r="K52" t="inlineStr">
        <is>
          <t>TBD</t>
        </is>
      </c>
      <c r="L52" t="inlineStr">
        <is>
          <t>YES: 27 cm baseline, wider camera bar</t>
        </is>
      </c>
      <c r="M52" t="inlineStr">
        <is>
          <t>'Built with pride in the USA' https://www.carnegierobotics.com/multisense-s27</t>
        </is>
      </c>
    </row>
    <row r="53">
      <c r="A53" t="inlineStr">
        <is>
          <t>HM1-301</t>
        </is>
      </c>
      <c r="B53" t="inlineStr">
        <is>
          <t>Parker/Thomas</t>
        </is>
      </c>
      <c r="C53" t="inlineStr">
        <is>
          <t>Diaphragm vacuum pump 24 V</t>
        </is>
      </c>
      <c r="D53" t="inlineStr">
        <is>
          <t>Gast (Benton Harbor, MI)</t>
        </is>
      </c>
      <c r="E53" t="inlineStr">
        <is>
          <t>DOA/ D-series</t>
        </is>
      </c>
      <c r="F53" s="2" t="inlineStr">
        <is>
          <t>US?</t>
        </is>
      </c>
      <c r="G53" t="n">
        <v>2</v>
      </c>
      <c r="H53" t="n">
        <v>350</v>
      </c>
      <c r="I53">
        <f>G53*H53</f>
        <v/>
      </c>
      <c r="J53" t="inlineStr">
        <is>
          <t>est</t>
        </is>
      </c>
      <c r="K53" t="inlineStr">
        <is>
          <t>2 wk</t>
        </is>
      </c>
      <c r="L53" t="inlineStr"/>
      <c r="M53" t="inlineStr"/>
    </row>
    <row r="54">
      <c r="A54" t="inlineStr">
        <is>
          <t>HM1-302</t>
        </is>
      </c>
      <c r="B54" t="inlineStr">
        <is>
          <t>SMC (JP)</t>
        </is>
      </c>
      <c r="C54" t="inlineStr">
        <is>
          <t>Solenoid valve 24 V</t>
        </is>
      </c>
      <c r="D54" t="inlineStr">
        <is>
          <t>Clippard (Cincinnati, OH)</t>
        </is>
      </c>
      <c r="E54" t="inlineStr">
        <is>
          <t>ET-3</t>
        </is>
      </c>
      <c r="F54" s="2" t="inlineStr">
        <is>
          <t>US?</t>
        </is>
      </c>
      <c r="G54" t="n">
        <v>2</v>
      </c>
      <c r="H54" t="n">
        <v>70</v>
      </c>
      <c r="I54">
        <f>G54*H54</f>
        <v/>
      </c>
      <c r="J54" t="inlineStr">
        <is>
          <t>est</t>
        </is>
      </c>
      <c r="K54" t="inlineStr">
        <is>
          <t>1 wk</t>
        </is>
      </c>
      <c r="L54" t="inlineStr"/>
      <c r="M54" t="inlineStr"/>
    </row>
    <row r="55">
      <c r="A55" t="inlineStr">
        <is>
          <t>HM1-303</t>
        </is>
      </c>
      <c r="B55" t="inlineStr">
        <is>
          <t>SMC ZSE20</t>
        </is>
      </c>
      <c r="C55" t="inlineStr">
        <is>
          <t>Vacuum switch</t>
        </is>
      </c>
      <c r="D55" t="inlineStr">
        <is>
          <t>US maker TBD</t>
        </is>
      </c>
      <c r="E55" t="inlineStr"/>
      <c r="F55" s="4" t="inlineStr">
        <is>
          <t>NONE</t>
        </is>
      </c>
      <c r="G55" t="n">
        <v>2</v>
      </c>
      <c r="H55" t="n">
        <v>150</v>
      </c>
      <c r="I55">
        <f>G55*H55</f>
        <v/>
      </c>
      <c r="J55" t="inlineStr">
        <is>
          <t>est</t>
        </is>
      </c>
      <c r="K55" t="inlineStr">
        <is>
          <t>2 wk</t>
        </is>
      </c>
      <c r="L55" t="inlineStr"/>
      <c r="M55" t="inlineStr">
        <is>
          <t>no confirmed US-made digital vacuum switch</t>
        </is>
      </c>
    </row>
    <row r="56">
      <c r="A56" t="inlineStr">
        <is>
          <t>HM1-401</t>
        </is>
      </c>
      <c r="B56" t="inlineStr">
        <is>
          <t>ORBIS</t>
        </is>
      </c>
      <c r="C56" t="inlineStr">
        <is>
          <t>Stacking tote + liner</t>
        </is>
      </c>
      <c r="D56" t="inlineStr">
        <is>
          <t>ORBIS (Oconomowoc, WI)</t>
        </is>
      </c>
      <c r="E56" t="inlineStr"/>
      <c r="F56" s="2" t="inlineStr">
        <is>
          <t>US?</t>
        </is>
      </c>
      <c r="G56" t="n">
        <v>2</v>
      </c>
      <c r="H56" t="n">
        <v>75</v>
      </c>
      <c r="I56">
        <f>G56*H56</f>
        <v/>
      </c>
      <c r="J56" t="inlineStr">
        <is>
          <t>est</t>
        </is>
      </c>
      <c r="K56" t="inlineStr">
        <is>
          <t>2 wk</t>
        </is>
      </c>
      <c r="L56" t="inlineStr"/>
      <c r="M56" t="inlineStr"/>
    </row>
    <row r="57">
      <c r="A57" t="inlineStr">
        <is>
          <t>HM1-402</t>
        </is>
      </c>
      <c r="B57" t="inlineStr">
        <is>
          <t>Interroll (CH)</t>
        </is>
      </c>
      <c r="C57" t="inlineStr">
        <is>
          <t>MDR roller zone + driver</t>
        </is>
      </c>
      <c r="D57" t="inlineStr">
        <is>
          <t>Hytrol (Jonesboro, AR)</t>
        </is>
      </c>
      <c r="E57" t="inlineStr">
        <is>
          <t>E24 MDR</t>
        </is>
      </c>
      <c r="F57" s="2" t="inlineStr">
        <is>
          <t>US?</t>
        </is>
      </c>
      <c r="G57" t="n">
        <v>2</v>
      </c>
      <c r="H57" t="n">
        <v>1500</v>
      </c>
      <c r="I57">
        <f>G57*H57</f>
        <v/>
      </c>
      <c r="J57" t="inlineStr">
        <is>
          <t>est</t>
        </is>
      </c>
      <c r="K57" t="inlineStr">
        <is>
          <t>4-6 wk</t>
        </is>
      </c>
      <c r="L57" t="inlineStr">
        <is>
          <t>small: roller pitch</t>
        </is>
      </c>
      <c r="M57" t="inlineStr"/>
    </row>
    <row r="58">
      <c r="A58" t="inlineStr">
        <is>
          <t>EE1-001</t>
        </is>
      </c>
      <c r="B58" t="inlineStr">
        <is>
          <t>CNC</t>
        </is>
      </c>
      <c r="C58" t="inlineStr">
        <is>
          <t>Tool flange adapter (Spark flange TODO)</t>
        </is>
      </c>
      <c r="D58" t="inlineStr">
        <is>
          <t>US CNC</t>
        </is>
      </c>
      <c r="E58" t="inlineStr"/>
      <c r="F58" s="2" t="inlineStr">
        <is>
          <t>US?</t>
        </is>
      </c>
      <c r="G58" t="n">
        <v>2</v>
      </c>
      <c r="H58" t="n">
        <v>95</v>
      </c>
      <c r="I58">
        <f>G58*H58</f>
        <v/>
      </c>
      <c r="J58" t="inlineStr">
        <is>
          <t>est</t>
        </is>
      </c>
      <c r="K58" t="inlineStr">
        <is>
          <t>1-2 wk</t>
        </is>
      </c>
      <c r="L58" t="inlineStr">
        <is>
          <t>YES: flange pattern</t>
        </is>
      </c>
      <c r="M58" t="inlineStr"/>
    </row>
    <row r="59">
      <c r="A59" t="inlineStr">
        <is>
          <t>EE1-002</t>
        </is>
      </c>
      <c r="B59" t="inlineStr">
        <is>
          <t>MJF</t>
        </is>
      </c>
      <c r="C59" t="inlineStr">
        <is>
          <t>Sealed housing, enlarged for NEMA 23 servo</t>
        </is>
      </c>
      <c r="D59" t="inlineStr">
        <is>
          <t>US MJF bureau</t>
        </is>
      </c>
      <c r="E59" t="inlineStr"/>
      <c r="F59" s="2" t="inlineStr">
        <is>
          <t>US?</t>
        </is>
      </c>
      <c r="G59" t="n">
        <v>2</v>
      </c>
      <c r="H59" t="n">
        <v>130</v>
      </c>
      <c r="I59">
        <f>G59*H59</f>
        <v/>
      </c>
      <c r="J59" t="inlineStr">
        <is>
          <t>est</t>
        </is>
      </c>
      <c r="K59" t="inlineStr">
        <is>
          <t>1 wk</t>
        </is>
      </c>
      <c r="L59" t="inlineStr">
        <is>
          <t>YES: dia 90 -&gt; 110 mm, +0.5 kg</t>
        </is>
      </c>
      <c r="M59" t="inlineStr"/>
    </row>
    <row r="60">
      <c r="A60" t="inlineStr">
        <is>
          <t>EE1-003</t>
        </is>
      </c>
      <c r="B60" t="inlineStr">
        <is>
          <t>MJF</t>
        </is>
      </c>
      <c r="C60" t="inlineStr">
        <is>
          <t>Front plate</t>
        </is>
      </c>
      <c r="D60" t="inlineStr">
        <is>
          <t>US MJF bureau</t>
        </is>
      </c>
      <c r="E60" t="inlineStr"/>
      <c r="F60" s="2" t="inlineStr">
        <is>
          <t>US?</t>
        </is>
      </c>
      <c r="G60" t="n">
        <v>2</v>
      </c>
      <c r="H60" t="n">
        <v>50</v>
      </c>
      <c r="I60">
        <f>G60*H60</f>
        <v/>
      </c>
      <c r="J60" t="inlineStr">
        <is>
          <t>est</t>
        </is>
      </c>
      <c r="K60" t="inlineStr">
        <is>
          <t>1 wk</t>
        </is>
      </c>
      <c r="L60" t="inlineStr"/>
      <c r="M60" t="inlineStr"/>
    </row>
    <row r="61">
      <c r="A61" t="inlineStr">
        <is>
          <t>EE1-004</t>
        </is>
      </c>
      <c r="B61" t="inlineStr">
        <is>
          <t>TPU</t>
        </is>
      </c>
      <c r="C61" t="inlineStr">
        <is>
          <t>Fin-Ray fingers, US filament (3 + 3 spare per EE)</t>
        </is>
      </c>
      <c r="D61" t="inlineStr">
        <is>
          <t>NinjaTek filament (Lititz, PA)</t>
        </is>
      </c>
      <c r="E61" t="inlineStr"/>
      <c r="F61" s="2" t="inlineStr">
        <is>
          <t>US?</t>
        </is>
      </c>
      <c r="G61" t="n">
        <v>12</v>
      </c>
      <c r="H61" t="n">
        <v>9</v>
      </c>
      <c r="I61">
        <f>G61*H61</f>
        <v/>
      </c>
      <c r="J61" t="inlineStr">
        <is>
          <t>est</t>
        </is>
      </c>
      <c r="K61" t="inlineStr">
        <is>
          <t>in-house</t>
        </is>
      </c>
      <c r="L61" t="inlineStr"/>
      <c r="M61" t="inlineStr"/>
    </row>
    <row r="62">
      <c r="A62" t="inlineStr">
        <is>
          <t>EE1-005</t>
        </is>
      </c>
      <c r="B62" t="inlineStr">
        <is>
          <t>bracket</t>
        </is>
      </c>
      <c r="C62" t="inlineStr">
        <is>
          <t>Camera bracket</t>
        </is>
      </c>
      <c r="D62" t="inlineStr">
        <is>
          <t>US CNC</t>
        </is>
      </c>
      <c r="E62" t="inlineStr"/>
      <c r="F62" s="2" t="inlineStr">
        <is>
          <t>US?</t>
        </is>
      </c>
      <c r="G62" t="n">
        <v>2</v>
      </c>
      <c r="H62" t="n">
        <v>50</v>
      </c>
      <c r="I62">
        <f>G62*H62</f>
        <v/>
      </c>
      <c r="J62" t="inlineStr">
        <is>
          <t>est</t>
        </is>
      </c>
      <c r="K62" t="inlineStr">
        <is>
          <t>1 wk</t>
        </is>
      </c>
      <c r="L62" t="inlineStr"/>
      <c r="M62" t="inlineStr"/>
    </row>
    <row r="63">
      <c r="A63" t="inlineStr">
        <is>
          <t>EE1-006</t>
        </is>
      </c>
      <c r="B63" t="inlineStr">
        <is>
          <t>assorted</t>
        </is>
      </c>
      <c r="C63" t="inlineStr">
        <is>
          <t>Bearings, seals, cam ring</t>
        </is>
      </c>
      <c r="D63" t="inlineStr">
        <is>
          <t>US distributors</t>
        </is>
      </c>
      <c r="E63" t="inlineStr"/>
      <c r="F63" s="2" t="inlineStr">
        <is>
          <t>US?</t>
        </is>
      </c>
      <c r="G63" t="n">
        <v>2</v>
      </c>
      <c r="H63" t="n">
        <v>90</v>
      </c>
      <c r="I63">
        <f>G63*H63</f>
        <v/>
      </c>
      <c r="J63" t="inlineStr">
        <is>
          <t>est</t>
        </is>
      </c>
      <c r="K63" t="inlineStr">
        <is>
          <t>1 wk</t>
        </is>
      </c>
      <c r="L63" t="inlineStr"/>
      <c r="M63" t="inlineStr"/>
    </row>
    <row r="64">
      <c r="A64" t="inlineStr">
        <is>
          <t>EE1-101</t>
        </is>
      </c>
      <c r="B64" t="inlineStr">
        <is>
          <t>DYNAMIXEL (KR)</t>
        </is>
      </c>
      <c r="C64" t="inlineStr">
        <is>
          <t>Integrated servo, torque mode</t>
        </is>
      </c>
      <c r="D64" t="inlineStr">
        <is>
          <t>Teknic (Victor, NY)</t>
        </is>
      </c>
      <c r="E64" t="inlineStr">
        <is>
          <t>ClearPath-MC NEMA 23</t>
        </is>
      </c>
      <c r="F64" s="2" t="inlineStr">
        <is>
          <t>US?</t>
        </is>
      </c>
      <c r="G64" t="n">
        <v>2</v>
      </c>
      <c r="H64" t="n">
        <v>350</v>
      </c>
      <c r="I64">
        <f>G64*H64</f>
        <v/>
      </c>
      <c r="J64" t="inlineStr">
        <is>
          <t>est</t>
        </is>
      </c>
      <c r="K64" t="inlineStr">
        <is>
          <t>1-2 wk</t>
        </is>
      </c>
      <c r="L64" t="inlineStr">
        <is>
          <t>YES: larger motor, step/dir+torque I/O</t>
        </is>
      </c>
      <c r="M64" t="inlineStr"/>
    </row>
    <row r="65">
      <c r="A65" t="inlineStr">
        <is>
          <t>EE1-102</t>
        </is>
      </c>
      <c r="B65" t="inlineStr">
        <is>
          <t>Piab (SE)</t>
        </is>
      </c>
      <c r="C65" t="inlineStr">
        <is>
          <t>Bellows suction cup 40 mm silicone</t>
        </is>
      </c>
      <c r="D65" t="inlineStr">
        <is>
          <t>Anver (Hudson, MA)</t>
        </is>
      </c>
      <c r="E65" t="inlineStr"/>
      <c r="F65" s="2" t="inlineStr">
        <is>
          <t>US?</t>
        </is>
      </c>
      <c r="G65" t="n">
        <v>2</v>
      </c>
      <c r="H65" t="n">
        <v>40</v>
      </c>
      <c r="I65">
        <f>G65*H65</f>
        <v/>
      </c>
      <c r="J65" t="inlineStr">
        <is>
          <t>est</t>
        </is>
      </c>
      <c r="K65" t="inlineStr">
        <is>
          <t>1 wk</t>
        </is>
      </c>
      <c r="L65" t="inlineStr"/>
      <c r="M65" t="inlineStr"/>
    </row>
    <row r="66">
      <c r="A66" t="inlineStr">
        <is>
          <t>EE1-103</t>
        </is>
      </c>
      <c r="B66" t="inlineStr">
        <is>
          <t>Actuonix (CA)</t>
        </is>
      </c>
      <c r="C66" t="inlineStr">
        <is>
          <t>Linear actuator 65 mm stroke</t>
        </is>
      </c>
      <c r="D66" t="inlineStr">
        <is>
          <t>Ultra Motion (Cutchogue, NY)</t>
        </is>
      </c>
      <c r="E66" t="inlineStr">
        <is>
          <t>Digit series</t>
        </is>
      </c>
      <c r="F66" s="2" t="inlineStr">
        <is>
          <t>US?</t>
        </is>
      </c>
      <c r="G66" t="n">
        <v>2</v>
      </c>
      <c r="H66" t="n">
        <v>450</v>
      </c>
      <c r="I66">
        <f>G66*H66</f>
        <v/>
      </c>
      <c r="J66" t="inlineStr">
        <is>
          <t>est</t>
        </is>
      </c>
      <c r="K66" t="inlineStr">
        <is>
          <t>2-4 wk</t>
        </is>
      </c>
      <c r="L66" t="inlineStr">
        <is>
          <t>small: body length</t>
        </is>
      </c>
      <c r="M66" t="inlineStr"/>
    </row>
    <row r="67">
      <c r="A67" t="inlineStr">
        <is>
          <t>EE1-104</t>
        </is>
      </c>
      <c r="B67" t="inlineStr">
        <is>
          <t>guide</t>
        </is>
      </c>
      <c r="C67" t="inlineStr">
        <is>
          <t>Cup rod guide</t>
        </is>
      </c>
      <c r="D67" t="inlineStr">
        <is>
          <t>US distributors</t>
        </is>
      </c>
      <c r="E67" t="inlineStr"/>
      <c r="F67" s="2" t="inlineStr">
        <is>
          <t>US?</t>
        </is>
      </c>
      <c r="G67" t="n">
        <v>2</v>
      </c>
      <c r="H67" t="n">
        <v>35</v>
      </c>
      <c r="I67">
        <f>G67*H67</f>
        <v/>
      </c>
      <c r="J67" t="inlineStr">
        <is>
          <t>est</t>
        </is>
      </c>
      <c r="K67" t="inlineStr">
        <is>
          <t>1 wk</t>
        </is>
      </c>
      <c r="L67" t="inlineStr"/>
      <c r="M67" t="inlineStr"/>
    </row>
    <row r="68">
      <c r="A68" t="inlineStr">
        <is>
          <t>EE1-201</t>
        </is>
      </c>
      <c r="B68" t="inlineStr">
        <is>
          <t>RealSense D405</t>
        </is>
      </c>
      <c r="C68" t="inlineStr">
        <is>
          <t>Short-range depth camera 7-50 cm</t>
        </is>
      </c>
      <c r="D68" t="inlineStr">
        <is>
          <t>RealSense (imported)</t>
        </is>
      </c>
      <c r="E68" t="inlineStr">
        <is>
          <t>D405</t>
        </is>
      </c>
      <c r="F68" s="4" t="inlineStr">
        <is>
          <t>NONE</t>
        </is>
      </c>
      <c r="G68" t="n">
        <v>2</v>
      </c>
      <c r="H68" t="n">
        <v>272</v>
      </c>
      <c r="I68">
        <f>G68*H68</f>
        <v/>
      </c>
      <c r="J68" t="inlineStr">
        <is>
          <t>est</t>
        </is>
      </c>
      <c r="K68" t="inlineStr">
        <is>
          <t>2 wk</t>
        </is>
      </c>
      <c r="L68" t="inlineStr"/>
      <c r="M68" t="inlineStr">
        <is>
          <t>no US-made depth camera works at 0.1 m (Carnegie MultiSense starts ~0.5 m)</t>
        </is>
      </c>
    </row>
    <row r="69">
      <c r="A69" t="inlineStr">
        <is>
          <t>EE1-202</t>
        </is>
      </c>
      <c r="B69" t="inlineStr">
        <is>
          <t>ST VL53L4CD</t>
        </is>
      </c>
      <c r="C69" t="inlineStr">
        <is>
          <t>ToF proximity sensor</t>
        </is>
      </c>
      <c r="D69" t="inlineStr">
        <is>
          <t>imported</t>
        </is>
      </c>
      <c r="E69" t="inlineStr"/>
      <c r="F69" s="4" t="inlineStr">
        <is>
          <t>NONE</t>
        </is>
      </c>
      <c r="G69" t="n">
        <v>2</v>
      </c>
      <c r="H69" t="n">
        <v>15</v>
      </c>
      <c r="I69">
        <f>G69*H69</f>
        <v/>
      </c>
      <c r="J69" t="inlineStr">
        <is>
          <t>est</t>
        </is>
      </c>
      <c r="K69" t="inlineStr">
        <is>
          <t>1 wk</t>
        </is>
      </c>
      <c r="L69" t="inlineStr"/>
      <c r="M69" t="inlineStr"/>
    </row>
    <row r="70">
      <c r="A70" t="inlineStr">
        <is>
          <t>EE1-203</t>
        </is>
      </c>
      <c r="B70" t="inlineStr">
        <is>
          <t>ring light</t>
        </is>
      </c>
      <c r="C70" t="inlineStr">
        <is>
          <t>LED ring light 24 V</t>
        </is>
      </c>
      <c r="D70" t="inlineStr">
        <is>
          <t>Advanced Illumination (Rochester, VT)</t>
        </is>
      </c>
      <c r="E70" t="inlineStr"/>
      <c r="F70" s="2" t="inlineStr">
        <is>
          <t>US?</t>
        </is>
      </c>
      <c r="G70" t="n">
        <v>2</v>
      </c>
      <c r="H70" t="n">
        <v>180</v>
      </c>
      <c r="I70">
        <f>G70*H70</f>
        <v/>
      </c>
      <c r="J70" t="inlineStr">
        <is>
          <t>est</t>
        </is>
      </c>
      <c r="K70" t="inlineStr">
        <is>
          <t>2 wk</t>
        </is>
      </c>
      <c r="L70" t="inlineStr"/>
      <c r="M70" t="inlineStr"/>
    </row>
    <row r="71">
      <c r="A71" t="inlineStr">
        <is>
          <t>EE1-301</t>
        </is>
      </c>
      <c r="B71" t="inlineStr">
        <is>
          <t>M12/RS485</t>
        </is>
      </c>
      <c r="C71" t="inlineStr">
        <is>
          <t>Tool connector + I/O wiring</t>
        </is>
      </c>
      <c r="D71" t="inlineStr">
        <is>
          <t>US distributors</t>
        </is>
      </c>
      <c r="E71" t="inlineStr"/>
      <c r="F71" s="2" t="inlineStr">
        <is>
          <t>US?</t>
        </is>
      </c>
      <c r="G71" t="n">
        <v>2</v>
      </c>
      <c r="H71" t="n">
        <v>120</v>
      </c>
      <c r="I71">
        <f>G71*H71</f>
        <v/>
      </c>
      <c r="J71" t="inlineStr">
        <is>
          <t>est</t>
        </is>
      </c>
      <c r="K71" t="inlineStr">
        <is>
          <t>1 wk</t>
        </is>
      </c>
      <c r="L71" t="inlineStr"/>
      <c r="M71" t="inlineStr"/>
    </row>
    <row r="72">
      <c r="A72" t="inlineStr">
        <is>
          <t>EE1-302</t>
        </is>
      </c>
      <c r="B72" t="inlineStr">
        <is>
          <t>USB3 cable</t>
        </is>
      </c>
      <c r="C72" t="inlineStr">
        <is>
          <t>Active USB3 cable 3 m</t>
        </is>
      </c>
      <c r="D72" t="inlineStr">
        <is>
          <t>imported</t>
        </is>
      </c>
      <c r="E72" t="inlineStr"/>
      <c r="F72" s="4" t="inlineStr">
        <is>
          <t>NONE</t>
        </is>
      </c>
      <c r="G72" t="n">
        <v>2</v>
      </c>
      <c r="H72" t="n">
        <v>45</v>
      </c>
      <c r="I72">
        <f>G72*H72</f>
        <v/>
      </c>
      <c r="J72" t="inlineStr">
        <is>
          <t>est</t>
        </is>
      </c>
      <c r="K72" t="inlineStr">
        <is>
          <t>1 wk</t>
        </is>
      </c>
      <c r="L72" t="inlineStr"/>
      <c r="M72" t="inlineStr"/>
    </row>
    <row r="73">
      <c r="H73" s="1" t="inlineStr">
        <is>
          <t>TOTAL</t>
        </is>
      </c>
      <c r="I73" s="1">
        <f>SUM(I2:I72)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USD</t>
        </is>
      </c>
      <c r="C1" t="inlineStr">
        <is>
          <t>Share</t>
        </is>
      </c>
    </row>
    <row r="2">
      <c r="A2" t="inlineStr">
        <is>
          <t>US</t>
        </is>
      </c>
      <c r="B2" t="n">
        <v>10840</v>
      </c>
      <c r="C2" t="n">
        <v>0.08599999999999999</v>
      </c>
    </row>
    <row r="3">
      <c r="A3" t="inlineStr">
        <is>
          <t>US?</t>
        </is>
      </c>
      <c r="B3" t="n">
        <v>35468</v>
      </c>
      <c r="C3" t="n">
        <v>0.283</v>
      </c>
    </row>
    <row r="4">
      <c r="A4" t="inlineStr">
        <is>
          <t>US-ASSY</t>
        </is>
      </c>
      <c r="B4" t="n">
        <v>71000</v>
      </c>
      <c r="C4" t="n">
        <v>0.5659999999999999</v>
      </c>
    </row>
    <row r="5">
      <c r="A5" t="inlineStr">
        <is>
          <t>NONE</t>
        </is>
      </c>
      <c r="B5" t="n">
        <v>8087</v>
      </c>
      <c r="C5" t="n">
        <v>0.064</v>
      </c>
    </row>
    <row r="6">
      <c r="A6" t="inlineStr">
        <is>
          <t>Parts total</t>
        </is>
      </c>
      <c r="B6" t="n">
        <v>125395</v>
      </c>
    </row>
    <row r="7">
      <c r="A7" t="inlineStr">
        <is>
          <t>US assembly + test</t>
        </is>
      </c>
      <c r="B7" t="n">
        <v>4500</v>
      </c>
    </row>
    <row r="8">
      <c r="A8" t="inlineStr">
        <is>
          <t>Robot total</t>
        </is>
      </c>
      <c r="B8" t="n">
        <v>129895</v>
      </c>
    </row>
    <row r="10">
      <c r="A10" t="inlineStr">
        <is>
          <t>US = vendor states made in USA; US? = US maker, get a country-of-origin letter; US-ASSY = assembled in US from imported parts; NONE = no US source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2026-11-01T22:35:43Z</dcterms:created>
  <dcterms:modified xmlns:dcterms="http://purl.org/dc/terms/" xmlns:xsi="http://www.w3.org/2001/XMLSchema-instance" xsi:type="dcterms:W3CDTF">2026-11-01T22:35:43Z</dcterms:modified>
</cp:coreProperties>
</file>