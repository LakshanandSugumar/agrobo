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B-1_base" sheetId="2" state="visible" r:id="rId2"/>
    <sheet xmlns:r="http://schemas.openxmlformats.org/officeDocument/2006/relationships" name="HM-1_harvester_implement" sheetId="3" state="visible" r:id="rId3"/>
    <sheet xmlns:r="http://schemas.openxmlformats.org/officeDocument/2006/relationships" name="EE-1_end_effector" sheetId="4" state="visible" r:id="rId4"/>
    <sheet xmlns:r="http://schemas.openxmlformats.org/officeDocument/2006/relationships" name="other_modules_estim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</cols>
  <sheetData>
    <row r="1">
      <c r="A1" s="1" t="inlineStr">
        <is>
          <t>Agrobo robot BOM summary (USD)</t>
        </is>
      </c>
    </row>
    <row r="3">
      <c r="A3" s="2" t="inlineStr">
        <is>
          <t>Item</t>
        </is>
      </c>
      <c r="B3" s="2" t="inlineStr">
        <is>
          <t>Pilot qty (1-5)</t>
        </is>
      </c>
      <c r="C3" s="2" t="inlineStr">
        <is>
          <t>At 100 units</t>
        </is>
      </c>
    </row>
    <row r="4">
      <c r="A4" t="inlineStr">
        <is>
          <t>AB-1 base platform</t>
        </is>
      </c>
      <c r="B4" s="3">
        <f>'AB-1_base'!H45</f>
        <v/>
      </c>
      <c r="C4" s="3">
        <f>'AB-1_base'!K45</f>
        <v/>
      </c>
    </row>
    <row r="5">
      <c r="A5" t="inlineStr">
        <is>
          <t>HM-1 harvester implement</t>
        </is>
      </c>
      <c r="B5" s="3">
        <f>'HM-1_harvester_implement'!H15</f>
        <v/>
      </c>
      <c r="C5" s="3">
        <f>'HM-1_harvester_implement'!K15</f>
        <v/>
      </c>
    </row>
    <row r="6">
      <c r="A6" t="inlineStr">
        <is>
          <t>EE-1 end-effector (x2)</t>
        </is>
      </c>
      <c r="B6" s="3">
        <f>2*'EE-1_end_effector'!H17</f>
        <v/>
      </c>
      <c r="C6" s="3">
        <f>2*'EE-1_end_effector'!K17</f>
        <v/>
      </c>
    </row>
    <row r="7">
      <c r="A7" s="4" t="inlineStr">
        <is>
          <t>Harvester robot total</t>
        </is>
      </c>
      <c r="B7" s="5">
        <f>SUM(B4:B6)</f>
        <v/>
      </c>
      <c r="C7" s="5">
        <f>SUM(C4:C6)</f>
        <v/>
      </c>
    </row>
    <row r="8">
      <c r="B8" s="3" t="n"/>
      <c r="C8" s="3" t="n"/>
    </row>
    <row r="9">
      <c r="A9" t="inlineStr">
        <is>
          <t>Other modules (pilot, design estimate)</t>
        </is>
      </c>
      <c r="B9" s="3" t="inlineStr"/>
      <c r="C9" s="3" t="inlineStr"/>
    </row>
    <row r="10">
      <c r="A10" t="inlineStr">
        <is>
          <t>LW-1 laser weeder implement (2 heads)</t>
        </is>
      </c>
      <c r="B10" s="3" t="n">
        <v>30700</v>
      </c>
      <c r="C10" s="3" t="inlineStr"/>
    </row>
    <row r="11">
      <c r="A11" t="inlineStr">
        <is>
          <t>LW-1M mechanical aisle cultivator (alternative)</t>
        </is>
      </c>
      <c r="B11" s="3" t="n">
        <v>4000</v>
      </c>
      <c r="C11" s="3" t="inlineStr"/>
    </row>
    <row r="12">
      <c r="A12" t="inlineStr">
        <is>
          <t>SP-1 spot sprayer implement (replaces micro-doser)</t>
        </is>
      </c>
      <c r="B12" s="3" t="n">
        <v>5400</v>
      </c>
      <c r="C12" s="3" t="inlineStr"/>
    </row>
    <row r="13">
      <c r="A13" t="inlineStr">
        <is>
          <t>HL-1 hauler (AB-1 base + tote rack, no arms)</t>
        </is>
      </c>
      <c r="B13" s="3" t="n">
        <v>29687</v>
      </c>
      <c r="C13" s="3" t="inlineStr"/>
    </row>
    <row r="14">
      <c r="A14" t="inlineStr">
        <is>
          <t>SU-1 scout UAV (ArduPilot quad, multispectral)</t>
        </is>
      </c>
      <c r="B14" s="3" t="n">
        <v>11000</v>
      </c>
      <c r="C14" s="3" t="inlineStr"/>
    </row>
    <row r="15">
      <c r="A15" t="inlineStr">
        <is>
          <t>DK-1 dock/charger (serves ~2 UGVs)</t>
        </is>
      </c>
      <c r="B15" s="3" t="n">
        <v>7600</v>
      </c>
      <c r="C15" s="3" t="inlineStr"/>
    </row>
    <row r="16">
      <c r="B16" s="3" t="n"/>
      <c r="C16" s="3" t="n"/>
    </row>
    <row r="17">
      <c r="A17" t="inlineStr">
        <is>
          <t>Prices checked 2026-10-21. 'quote' = public list price (URL in notes); 'est' = engineering estimate, get quotes before ordering.</t>
        </is>
      </c>
      <c r="B17" s="3" t="n"/>
      <c r="C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8" customWidth="1" min="3" max="3"/>
    <col width="24" customWidth="1" min="4" max="4"/>
    <col width="30" customWidth="1" min="5" max="5"/>
    <col width="5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60" customWidth="1" min="12" max="12"/>
  </cols>
  <sheetData>
    <row r="1">
      <c r="A1" s="2" t="inlineStr">
        <is>
          <t>part_no</t>
        </is>
      </c>
      <c r="B1" s="2" t="inlineStr">
        <is>
          <t>subsystem</t>
        </is>
      </c>
      <c r="C1" s="2" t="inlineStr">
        <is>
          <t>description</t>
        </is>
      </c>
      <c r="D1" s="2" t="inlineStr">
        <is>
          <t>manufacturer</t>
        </is>
      </c>
      <c r="E1" s="2" t="inlineStr">
        <is>
          <t>model_mpn</t>
        </is>
      </c>
      <c r="F1" s="2" t="inlineStr">
        <is>
          <t>qty</t>
        </is>
      </c>
      <c r="G1" s="2" t="inlineStr">
        <is>
          <t>unit_usd</t>
        </is>
      </c>
      <c r="H1" s="2" t="inlineStr">
        <is>
          <t>ext_usd</t>
        </is>
      </c>
      <c r="I1" s="2" t="inlineStr">
        <is>
          <t>price_basis</t>
        </is>
      </c>
      <c r="J1" s="2" t="inlineStr">
        <is>
          <t>vol100_factor</t>
        </is>
      </c>
      <c r="K1" s="2" t="inlineStr">
        <is>
          <t>ext_usd_at_100_units</t>
        </is>
      </c>
      <c r="L1" s="2" t="inlineStr">
        <is>
          <t>notes</t>
        </is>
      </c>
    </row>
    <row r="2">
      <c r="A2" t="inlineStr">
        <is>
          <t>AB1-101</t>
        </is>
      </c>
      <c r="B2" t="inlineStr">
        <is>
          <t>Frame</t>
        </is>
      </c>
      <c r="C2" t="inlineStr">
        <is>
          <t>T-slot profile 1.5 in square, cut to length (see cut list)</t>
        </is>
      </c>
      <c r="D2" t="inlineStr">
        <is>
          <t>80/20 Inc.</t>
        </is>
      </c>
      <c r="E2" t="inlineStr">
        <is>
          <t>1515 (or 1515-LITE for cross members)</t>
        </is>
      </c>
      <c r="F2" t="n">
        <v>1</v>
      </c>
      <c r="G2" t="n">
        <v>980</v>
      </c>
      <c r="H2">
        <f>F2*G2</f>
        <v/>
      </c>
      <c r="I2" t="inlineStr">
        <is>
          <t>est</t>
        </is>
      </c>
      <c r="J2" t="n">
        <v>0.6</v>
      </c>
      <c r="K2">
        <f>ROUND(H2*J2,0)</f>
        <v/>
      </c>
      <c r="L2" t="inlineStr">
        <is>
          <t>~21 m total incl. mast; welded 6061 frame at volume</t>
        </is>
      </c>
    </row>
    <row r="3">
      <c r="A3" t="inlineStr">
        <is>
          <t>AB1-102</t>
        </is>
      </c>
      <c r="B3" t="inlineStr">
        <is>
          <t>Frame</t>
        </is>
      </c>
      <c r="C3" t="inlineStr">
        <is>
          <t>Fastener kit: T-nuts, anchors, 90 deg gussets, M8 SS hardware</t>
        </is>
      </c>
      <c r="D3" t="inlineStr">
        <is>
          <t>80/20 Inc. / McMaster-Carr</t>
        </is>
      </c>
      <c r="E3" t="inlineStr">
        <is>
          <t>assorted</t>
        </is>
      </c>
      <c r="F3" t="n">
        <v>1</v>
      </c>
      <c r="G3" t="n">
        <v>650</v>
      </c>
      <c r="H3">
        <f>F3*G3</f>
        <v/>
      </c>
      <c r="I3" t="inlineStr">
        <is>
          <t>est</t>
        </is>
      </c>
      <c r="J3" t="n">
        <v>0.5</v>
      </c>
      <c r="K3">
        <f>ROUND(H3*J3,0)</f>
        <v/>
      </c>
      <c r="L3" t="inlineStr">
        <is>
          <t>stainless or zinc-nickel, coastal FL</t>
        </is>
      </c>
    </row>
    <row r="4">
      <c r="A4" t="inlineStr">
        <is>
          <t>AB1-201</t>
        </is>
      </c>
      <c r="B4" t="inlineStr">
        <is>
          <t>Frame</t>
        </is>
      </c>
      <c r="C4" t="inlineStr">
        <is>
          <t>Deck plate 3 mm 5052-H32, laser cut</t>
        </is>
      </c>
      <c r="D4" t="inlineStr">
        <is>
          <t>SendCutSend</t>
        </is>
      </c>
      <c r="E4" t="inlineStr">
        <is>
          <t>cad/dxf/AB1-201</t>
        </is>
      </c>
      <c r="F4" t="n">
        <v>1</v>
      </c>
      <c r="G4" t="n">
        <v>260</v>
      </c>
      <c r="H4">
        <f>F4*G4</f>
        <v/>
      </c>
      <c r="I4" t="inlineStr">
        <is>
          <t>est</t>
        </is>
      </c>
      <c r="J4" t="n">
        <v>0.5</v>
      </c>
      <c r="K4">
        <f>ROUND(H4*J4,0)</f>
        <v/>
      </c>
      <c r="L4" t="inlineStr">
        <is>
          <t>DXF provided</t>
        </is>
      </c>
    </row>
    <row r="5">
      <c r="A5" t="inlineStr">
        <is>
          <t>AB1-202</t>
        </is>
      </c>
      <c r="B5" t="inlineStr">
        <is>
          <t>Frame</t>
        </is>
      </c>
      <c r="C5" t="inlineStr">
        <is>
          <t>Axle plate 10 mm 6061-T6, laser cut + shaft clamp slot</t>
        </is>
      </c>
      <c r="D5" t="inlineStr">
        <is>
          <t>SendCutSend</t>
        </is>
      </c>
      <c r="E5" t="inlineStr">
        <is>
          <t>cad/dxf/AB1-202</t>
        </is>
      </c>
      <c r="F5" t="n">
        <v>4</v>
      </c>
      <c r="G5" t="n">
        <v>55</v>
      </c>
      <c r="H5">
        <f>F5*G5</f>
        <v/>
      </c>
      <c r="I5" t="inlineStr">
        <is>
          <t>est</t>
        </is>
      </c>
      <c r="J5" t="n">
        <v>0.5</v>
      </c>
      <c r="K5">
        <f>ROUND(H5*J5,0)</f>
        <v/>
      </c>
      <c r="L5" t="inlineStr">
        <is>
          <t>DXF provided</t>
        </is>
      </c>
    </row>
    <row r="6">
      <c r="A6" t="inlineStr">
        <is>
          <t>AB1-203</t>
        </is>
      </c>
      <c r="B6" t="inlineStr">
        <is>
          <t>Frame</t>
        </is>
      </c>
      <c r="C6" t="inlineStr">
        <is>
          <t>Leg gusset plate 10 mm 6061-T6</t>
        </is>
      </c>
      <c r="D6" t="inlineStr">
        <is>
          <t>SendCutSend</t>
        </is>
      </c>
      <c r="E6" t="inlineStr">
        <is>
          <t>cad/step (from frame)</t>
        </is>
      </c>
      <c r="F6" t="n">
        <v>4</v>
      </c>
      <c r="G6" t="n">
        <v>35</v>
      </c>
      <c r="H6">
        <f>F6*G6</f>
        <v/>
      </c>
      <c r="I6" t="inlineStr">
        <is>
          <t>est</t>
        </is>
      </c>
      <c r="J6" t="n">
        <v>0.5</v>
      </c>
      <c r="K6">
        <f>ROUND(H6*J6,0)</f>
        <v/>
      </c>
      <c r="L6" t="inlineStr"/>
    </row>
    <row r="7">
      <c r="A7" t="inlineStr">
        <is>
          <t>AB1-204</t>
        </is>
      </c>
      <c r="B7" t="inlineStr">
        <is>
          <t>Frame</t>
        </is>
      </c>
      <c r="C7" t="inlineStr">
        <is>
          <t>Shaft clamp block, 6061 CNC, 30 mm bore</t>
        </is>
      </c>
      <c r="D7" t="inlineStr">
        <is>
          <t>Xometry</t>
        </is>
      </c>
      <c r="E7" t="inlineStr">
        <is>
          <t>cad/step</t>
        </is>
      </c>
      <c r="F7" t="n">
        <v>4</v>
      </c>
      <c r="G7" t="n">
        <v>70</v>
      </c>
      <c r="H7">
        <f>F7*G7</f>
        <v/>
      </c>
      <c r="I7" t="inlineStr">
        <is>
          <t>est</t>
        </is>
      </c>
      <c r="J7" t="n">
        <v>0.4</v>
      </c>
      <c r="K7">
        <f>ROUND(H7*J7,0)</f>
        <v/>
      </c>
      <c r="L7" t="inlineStr">
        <is>
          <t>confirm hub motor shaft dia + flats</t>
        </is>
      </c>
    </row>
    <row r="8">
      <c r="A8" t="inlineStr">
        <is>
          <t>AB1-205</t>
        </is>
      </c>
      <c r="B8" t="inlineStr">
        <is>
          <t>Frame</t>
        </is>
      </c>
      <c r="C8" t="inlineStr">
        <is>
          <t>Powder coat / hard anodise frame parts</t>
        </is>
      </c>
      <c r="D8" t="inlineStr">
        <is>
          <t>local</t>
        </is>
      </c>
      <c r="E8" t="inlineStr"/>
      <c r="F8" t="n">
        <v>1</v>
      </c>
      <c r="G8" t="n">
        <v>400</v>
      </c>
      <c r="H8">
        <f>F8*G8</f>
        <v/>
      </c>
      <c r="I8" t="inlineStr">
        <is>
          <t>est</t>
        </is>
      </c>
      <c r="J8" t="n">
        <v>0.6</v>
      </c>
      <c r="K8">
        <f>ROUND(H8*J8,0)</f>
        <v/>
      </c>
      <c r="L8" t="inlineStr">
        <is>
          <t>salt air + fertiliser exposure</t>
        </is>
      </c>
    </row>
    <row r="9">
      <c r="A9" t="inlineStr">
        <is>
          <t>AB1-301</t>
        </is>
      </c>
      <c r="B9" t="inlineStr">
        <is>
          <t>Drive</t>
        </is>
      </c>
      <c r="C9" t="inlineStr">
        <is>
          <t>Brushless hub motor 3 kW, 48 V, 130 N m nom / 200 N m peak, IP65</t>
        </is>
      </c>
      <c r="D9" t="inlineStr">
        <is>
          <t>OZO Electric</t>
        </is>
      </c>
      <c r="E9" t="inlineStr">
        <is>
          <t>ref 000500</t>
        </is>
      </c>
      <c r="F9" t="n">
        <v>4</v>
      </c>
      <c r="G9" t="n">
        <v>465</v>
      </c>
      <c r="H9">
        <f>F9*G9</f>
        <v/>
      </c>
      <c r="I9" t="inlineStr">
        <is>
          <t>quote</t>
        </is>
      </c>
      <c r="J9" t="n">
        <v>0.8</v>
      </c>
      <c r="K9">
        <f>ROUND(H9*J9,0)</f>
        <v/>
      </c>
      <c r="L9" t="inlineStr">
        <is>
          <t>EUR 399 incl. tax https://ozo-electric.com/en/agricultural-construction-wheel-motors/558692-brushless-electric-hub-motor-3000w-130nm-45kmh-48v-to-72v.html</t>
        </is>
      </c>
    </row>
    <row r="10">
      <c r="A10" t="inlineStr">
        <is>
          <t>AB1-302</t>
        </is>
      </c>
      <c r="B10" t="inlineStr">
        <is>
          <t>Drive</t>
        </is>
      </c>
      <c r="C10" t="inlineStr">
        <is>
          <t>Turf tyre 20x8.00-10 on 10 in steel rim, 4x100</t>
        </is>
      </c>
      <c r="D10" t="inlineStr">
        <is>
          <t>Carlisle / Kenda</t>
        </is>
      </c>
      <c r="E10" t="inlineStr">
        <is>
          <t>Turf Saver 20x8.00-10</t>
        </is>
      </c>
      <c r="F10" t="n">
        <v>4</v>
      </c>
      <c r="G10" t="n">
        <v>95</v>
      </c>
      <c r="H10">
        <f>F10*G10</f>
        <v/>
      </c>
      <c r="I10" t="inlineStr">
        <is>
          <t>est</t>
        </is>
      </c>
      <c r="J10" t="n">
        <v>0.8</v>
      </c>
      <c r="K10">
        <f>ROUND(H10*J10,0)</f>
        <v/>
      </c>
      <c r="L10" t="inlineStr">
        <is>
          <t>flotation on sand</t>
        </is>
      </c>
    </row>
    <row r="11">
      <c r="A11" t="inlineStr">
        <is>
          <t>AB1-303</t>
        </is>
      </c>
      <c r="B11" t="inlineStr">
        <is>
          <t>Drive</t>
        </is>
      </c>
      <c r="C11" t="inlineStr">
        <is>
          <t>FOC motor controller 75 V 100 A, CAN, hall + sensorless</t>
        </is>
      </c>
      <c r="D11" t="inlineStr">
        <is>
          <t>Flipsky</t>
        </is>
      </c>
      <c r="E11" t="inlineStr">
        <is>
          <t>FSESC 75100 (VESC 6 fw)</t>
        </is>
      </c>
      <c r="F11" t="n">
        <v>4</v>
      </c>
      <c r="G11" t="n">
        <v>165</v>
      </c>
      <c r="H11">
        <f>F11*G11</f>
        <v/>
      </c>
      <c r="I11" t="inlineStr">
        <is>
          <t>est</t>
        </is>
      </c>
      <c r="J11" t="n">
        <v>0.7</v>
      </c>
      <c r="K11">
        <f>ROUND(H11*J11,0)</f>
        <v/>
      </c>
      <c r="L11" t="inlineStr">
        <is>
          <t>potted in AB1-403 box; ros2 vesc driver</t>
        </is>
      </c>
    </row>
    <row r="12">
      <c r="A12" t="inlineStr">
        <is>
          <t>AB1-401</t>
        </is>
      </c>
      <c r="B12" t="inlineStr">
        <is>
          <t>Power</t>
        </is>
      </c>
      <c r="C12" t="inlineStr">
        <is>
          <t>LFP prismatic cell 3.2 V 105 Ah (16S2P = 51.2 V 210 Ah, 10.75 kWh)</t>
        </is>
      </c>
      <c r="D12" t="inlineStr">
        <is>
          <t>EVE Energy</t>
        </is>
      </c>
      <c r="E12" t="inlineStr">
        <is>
          <t>LF105</t>
        </is>
      </c>
      <c r="F12" t="n">
        <v>32</v>
      </c>
      <c r="G12" t="n">
        <v>52</v>
      </c>
      <c r="H12">
        <f>F12*G12</f>
        <v/>
      </c>
      <c r="I12" t="inlineStr">
        <is>
          <t>est</t>
        </is>
      </c>
      <c r="J12" t="n">
        <v>0.7</v>
      </c>
      <c r="K12">
        <f>ROUND(H12*J12,0)</f>
        <v/>
      </c>
      <c r="L12" t="inlineStr">
        <is>
          <t>grade A, matched; UN38.3 for shipping</t>
        </is>
      </c>
    </row>
    <row r="13">
      <c r="A13" t="inlineStr">
        <is>
          <t>AB1-402</t>
        </is>
      </c>
      <c r="B13" t="inlineStr">
        <is>
          <t>Power</t>
        </is>
      </c>
      <c r="C13" t="inlineStr">
        <is>
          <t>BMS 16S with CAN, contactor + precharge control</t>
        </is>
      </c>
      <c r="D13" t="inlineStr">
        <is>
          <t>Orion / Ewert Energy</t>
        </is>
      </c>
      <c r="E13" t="inlineStr">
        <is>
          <t>Orion BMS 2 (24-cell)</t>
        </is>
      </c>
      <c r="F13" t="n">
        <v>1</v>
      </c>
      <c r="G13" t="n">
        <v>950</v>
      </c>
      <c r="H13">
        <f>F13*G13</f>
        <v/>
      </c>
      <c r="I13" t="inlineStr">
        <is>
          <t>est</t>
        </is>
      </c>
      <c r="J13" t="n">
        <v>0.6</v>
      </c>
      <c r="K13">
        <f>ROUND(H13*J13,0)</f>
        <v/>
      </c>
      <c r="L13" t="inlineStr"/>
    </row>
    <row r="14">
      <c r="A14" t="inlineStr">
        <is>
          <t>AB1-403</t>
        </is>
      </c>
      <c r="B14" t="inlineStr">
        <is>
          <t>Power</t>
        </is>
      </c>
      <c r="C14" t="inlineStr">
        <is>
          <t>Keel pack enclosure 5052 sheet, IP67 gasket, cell compression plates</t>
        </is>
      </c>
      <c r="D14" t="inlineStr">
        <is>
          <t>local sheet-metal</t>
        </is>
      </c>
      <c r="E14" t="inlineStr">
        <is>
          <t>cad/step keel</t>
        </is>
      </c>
      <c r="F14" t="n">
        <v>1</v>
      </c>
      <c r="G14" t="n">
        <v>650</v>
      </c>
      <c r="H14">
        <f>F14*G14</f>
        <v/>
      </c>
      <c r="I14" t="inlineStr">
        <is>
          <t>est</t>
        </is>
      </c>
      <c r="J14" t="n">
        <v>0.5</v>
      </c>
      <c r="K14">
        <f>ROUND(H14*J14,0)</f>
        <v/>
      </c>
      <c r="L14" t="inlineStr"/>
    </row>
    <row r="15">
      <c r="A15" t="inlineStr">
        <is>
          <t>AB1-404</t>
        </is>
      </c>
      <c r="B15" t="inlineStr">
        <is>
          <t>Power</t>
        </is>
      </c>
      <c r="C15" t="inlineStr">
        <is>
          <t>Busbars, cell fuses, thermistors, sense harness</t>
        </is>
      </c>
      <c r="D15" t="inlineStr">
        <is>
          <t>assorted</t>
        </is>
      </c>
      <c r="E15" t="inlineStr"/>
      <c r="F15" t="n">
        <v>1</v>
      </c>
      <c r="G15" t="n">
        <v>250</v>
      </c>
      <c r="H15">
        <f>F15*G15</f>
        <v/>
      </c>
      <c r="I15" t="inlineStr">
        <is>
          <t>est</t>
        </is>
      </c>
      <c r="J15" t="n">
        <v>0.6</v>
      </c>
      <c r="K15">
        <f>ROUND(H15*J15,0)</f>
        <v/>
      </c>
      <c r="L15" t="inlineStr"/>
    </row>
    <row r="16">
      <c r="A16" t="inlineStr">
        <is>
          <t>AB1-405</t>
        </is>
      </c>
      <c r="B16" t="inlineStr">
        <is>
          <t>Power</t>
        </is>
      </c>
      <c r="C16" t="inlineStr">
        <is>
          <t>Main contactor 500 A, 12 V coil, sealed</t>
        </is>
      </c>
      <c r="D16" t="inlineStr">
        <is>
          <t>TE Kilovac</t>
        </is>
      </c>
      <c r="E16" t="inlineStr">
        <is>
          <t>EV200AAANA</t>
        </is>
      </c>
      <c r="F16" t="n">
        <v>1</v>
      </c>
      <c r="G16" t="n">
        <v>165</v>
      </c>
      <c r="H16">
        <f>F16*G16</f>
        <v/>
      </c>
      <c r="I16" t="inlineStr">
        <is>
          <t>est</t>
        </is>
      </c>
      <c r="J16" t="n">
        <v>0.8</v>
      </c>
      <c r="K16">
        <f>ROUND(H16*J16,0)</f>
        <v/>
      </c>
      <c r="L16" t="inlineStr"/>
    </row>
    <row r="17">
      <c r="A17" t="inlineStr">
        <is>
          <t>AB1-406</t>
        </is>
      </c>
      <c r="B17" t="inlineStr">
        <is>
          <t>Power</t>
        </is>
      </c>
      <c r="C17" t="inlineStr">
        <is>
          <t>Precharge relay + 50 ohm 50 W resistor</t>
        </is>
      </c>
      <c r="D17" t="inlineStr">
        <is>
          <t>assorted</t>
        </is>
      </c>
      <c r="E17" t="inlineStr"/>
      <c r="F17" t="n">
        <v>1</v>
      </c>
      <c r="G17" t="n">
        <v>60</v>
      </c>
      <c r="H17">
        <f>F17*G17</f>
        <v/>
      </c>
      <c r="I17" t="inlineStr">
        <is>
          <t>est</t>
        </is>
      </c>
      <c r="J17" t="n">
        <v>0.8</v>
      </c>
      <c r="K17">
        <f>ROUND(H17*J17,0)</f>
        <v/>
      </c>
      <c r="L17" t="inlineStr"/>
    </row>
    <row r="18">
      <c r="A18" t="inlineStr">
        <is>
          <t>AB1-407</t>
        </is>
      </c>
      <c r="B18" t="inlineStr">
        <is>
          <t>Power</t>
        </is>
      </c>
      <c r="C18" t="inlineStr">
        <is>
          <t>Main fuse 200 A Class T + holder</t>
        </is>
      </c>
      <c r="D18" t="inlineStr">
        <is>
          <t>Littelfuse / Blue Sea</t>
        </is>
      </c>
      <c r="E18" t="inlineStr">
        <is>
          <t>JLLN200 + 5502</t>
        </is>
      </c>
      <c r="F18" t="n">
        <v>1</v>
      </c>
      <c r="G18" t="n">
        <v>95</v>
      </c>
      <c r="H18">
        <f>F18*G18</f>
        <v/>
      </c>
      <c r="I18" t="inlineStr">
        <is>
          <t>est</t>
        </is>
      </c>
      <c r="J18" t="n">
        <v>0.8</v>
      </c>
      <c r="K18">
        <f>ROUND(H18*J18,0)</f>
        <v/>
      </c>
      <c r="L18" t="inlineStr"/>
    </row>
    <row r="19">
      <c r="A19" t="inlineStr">
        <is>
          <t>AB1-408</t>
        </is>
      </c>
      <c r="B19" t="inlineStr">
        <is>
          <t>Power</t>
        </is>
      </c>
      <c r="C19" t="inlineStr">
        <is>
          <t>Manual battery disconnect (lockout)</t>
        </is>
      </c>
      <c r="D19" t="inlineStr">
        <is>
          <t>Blue Sea</t>
        </is>
      </c>
      <c r="E19" t="inlineStr">
        <is>
          <t>9003e</t>
        </is>
      </c>
      <c r="F19" t="n">
        <v>1</v>
      </c>
      <c r="G19" t="n">
        <v>70</v>
      </c>
      <c r="H19">
        <f>F19*G19</f>
        <v/>
      </c>
      <c r="I19" t="inlineStr">
        <is>
          <t>est</t>
        </is>
      </c>
      <c r="J19" t="n">
        <v>0.8</v>
      </c>
      <c r="K19">
        <f>ROUND(H19*J19,0)</f>
        <v/>
      </c>
      <c r="L19" t="inlineStr">
        <is>
          <t>LOTO point for service</t>
        </is>
      </c>
    </row>
    <row r="20">
      <c r="A20" t="inlineStr">
        <is>
          <t>AB1-409</t>
        </is>
      </c>
      <c r="B20" t="inlineStr">
        <is>
          <t>Power</t>
        </is>
      </c>
      <c r="C20" t="inlineStr">
        <is>
          <t>Battery connector 8 mm, 200 A, IP67, keyed pair</t>
        </is>
      </c>
      <c r="D20" t="inlineStr">
        <is>
          <t>Amphenol</t>
        </is>
      </c>
      <c r="E20" t="inlineStr">
        <is>
          <t>SurLok Plus</t>
        </is>
      </c>
      <c r="F20" t="n">
        <v>1</v>
      </c>
      <c r="G20" t="n">
        <v>90</v>
      </c>
      <c r="H20">
        <f>F20*G20</f>
        <v/>
      </c>
      <c r="I20" t="inlineStr">
        <is>
          <t>est</t>
        </is>
      </c>
      <c r="J20" t="n">
        <v>0.8</v>
      </c>
      <c r="K20">
        <f>ROUND(H20*J20,0)</f>
        <v/>
      </c>
      <c r="L20" t="inlineStr"/>
    </row>
    <row r="21">
      <c r="A21" t="inlineStr">
        <is>
          <t>AB1-410</t>
        </is>
      </c>
      <c r="B21" t="inlineStr">
        <is>
          <t>Power</t>
        </is>
      </c>
      <c r="C21" t="inlineStr">
        <is>
          <t>DC-DC 48-&gt;24 V 480 W DIN rail</t>
        </is>
      </c>
      <c r="D21" t="inlineStr">
        <is>
          <t>MEAN WELL</t>
        </is>
      </c>
      <c r="E21" t="inlineStr">
        <is>
          <t>DDR-480C-24</t>
        </is>
      </c>
      <c r="F21" t="n">
        <v>1</v>
      </c>
      <c r="G21" t="n">
        <v>120</v>
      </c>
      <c r="H21">
        <f>F21*G21</f>
        <v/>
      </c>
      <c r="I21" t="inlineStr">
        <is>
          <t>est</t>
        </is>
      </c>
      <c r="J21" t="n">
        <v>0.8</v>
      </c>
      <c r="K21">
        <f>ROUND(H21*J21,0)</f>
        <v/>
      </c>
      <c r="L21" t="inlineStr">
        <is>
          <t>33.6-67.2 V input</t>
        </is>
      </c>
    </row>
    <row r="22">
      <c r="A22" t="inlineStr">
        <is>
          <t>AB1-411</t>
        </is>
      </c>
      <c r="B22" t="inlineStr">
        <is>
          <t>Power</t>
        </is>
      </c>
      <c r="C22" t="inlineStr">
        <is>
          <t>DC-DC 48-&gt;12 V 240 W DIN rail</t>
        </is>
      </c>
      <c r="D22" t="inlineStr">
        <is>
          <t>MEAN WELL</t>
        </is>
      </c>
      <c r="E22" t="inlineStr">
        <is>
          <t>DDR-240C-12</t>
        </is>
      </c>
      <c r="F22" t="n">
        <v>1</v>
      </c>
      <c r="G22" t="n">
        <v>80</v>
      </c>
      <c r="H22">
        <f>F22*G22</f>
        <v/>
      </c>
      <c r="I22" t="inlineStr">
        <is>
          <t>est</t>
        </is>
      </c>
      <c r="J22" t="n">
        <v>0.8</v>
      </c>
      <c r="K22">
        <f>ROUND(H22*J22,0)</f>
        <v/>
      </c>
      <c r="L22" t="inlineStr">
        <is>
          <t>Jetson + router</t>
        </is>
      </c>
    </row>
    <row r="23">
      <c r="A23" t="inlineStr">
        <is>
          <t>AB1-412</t>
        </is>
      </c>
      <c r="B23" t="inlineStr">
        <is>
          <t>Power</t>
        </is>
      </c>
      <c r="C23" t="inlineStr">
        <is>
          <t>Fused distribution: DIN fuse blocks, breakers, terminals</t>
        </is>
      </c>
      <c r="D23" t="inlineStr">
        <is>
          <t>Phoenix Contact</t>
        </is>
      </c>
      <c r="E23" t="inlineStr">
        <is>
          <t>assorted</t>
        </is>
      </c>
      <c r="F23" t="n">
        <v>1</v>
      </c>
      <c r="G23" t="n">
        <v>260</v>
      </c>
      <c r="H23">
        <f>F23*G23</f>
        <v/>
      </c>
      <c r="I23" t="inlineStr">
        <is>
          <t>est</t>
        </is>
      </c>
      <c r="J23" t="n">
        <v>0.7</v>
      </c>
      <c r="K23">
        <f>ROUND(H23*J23,0)</f>
        <v/>
      </c>
      <c r="L23" t="inlineStr"/>
    </row>
    <row r="24">
      <c r="A24" t="inlineStr">
        <is>
          <t>AB1-413</t>
        </is>
      </c>
      <c r="B24" t="inlineStr">
        <is>
          <t>Power</t>
        </is>
      </c>
      <c r="C24" t="inlineStr">
        <is>
          <t>Charge inlet: spring dock contacts 2x 150 A + pilot pin</t>
        </is>
      </c>
      <c r="D24" t="inlineStr">
        <is>
          <t>Staubli / REMA</t>
        </is>
      </c>
      <c r="E24" t="inlineStr">
        <is>
          <t>MC / DIN 160A</t>
        </is>
      </c>
      <c r="F24" t="n">
        <v>1</v>
      </c>
      <c r="G24" t="n">
        <v>380</v>
      </c>
      <c r="H24">
        <f>F24*G24</f>
        <v/>
      </c>
      <c r="I24" t="inlineStr">
        <is>
          <t>est</t>
        </is>
      </c>
      <c r="J24" t="n">
        <v>0.6</v>
      </c>
      <c r="K24">
        <f>ROUND(H24*J24,0)</f>
        <v/>
      </c>
      <c r="L24" t="inlineStr">
        <is>
          <t>dock side in DK-1</t>
        </is>
      </c>
    </row>
    <row r="25">
      <c r="A25" t="inlineStr">
        <is>
          <t>AB1-501</t>
        </is>
      </c>
      <c r="B25" t="inlineStr">
        <is>
          <t>Safety</t>
        </is>
      </c>
      <c r="C25" t="inlineStr">
        <is>
          <t>Safety relay, dual-channel E-stop + reset, PL d</t>
        </is>
      </c>
      <c r="D25" t="inlineStr">
        <is>
          <t>Pilz</t>
        </is>
      </c>
      <c r="E25" t="inlineStr">
        <is>
          <t>PNOZ s4 24VDC (750104)</t>
        </is>
      </c>
      <c r="F25" t="n">
        <v>1</v>
      </c>
      <c r="G25" t="n">
        <v>310</v>
      </c>
      <c r="H25">
        <f>F25*G25</f>
        <v/>
      </c>
      <c r="I25" t="inlineStr">
        <is>
          <t>est</t>
        </is>
      </c>
      <c r="J25" t="n">
        <v>0.9</v>
      </c>
      <c r="K25">
        <f>ROUND(H25*J25,0)</f>
        <v/>
      </c>
      <c r="L25" t="inlineStr"/>
    </row>
    <row r="26">
      <c r="A26" t="inlineStr">
        <is>
          <t>AB1-502</t>
        </is>
      </c>
      <c r="B26" t="inlineStr">
        <is>
          <t>Safety</t>
        </is>
      </c>
      <c r="C26" t="inlineStr">
        <is>
          <t>E-stop mushroom, IP69K, 2NC, yellow housing</t>
        </is>
      </c>
      <c r="D26" t="inlineStr">
        <is>
          <t>IDEC / Schneider</t>
        </is>
      </c>
      <c r="E26" t="inlineStr">
        <is>
          <t>XW1E / XB4</t>
        </is>
      </c>
      <c r="F26" t="n">
        <v>4</v>
      </c>
      <c r="G26" t="n">
        <v>45</v>
      </c>
      <c r="H26">
        <f>F26*G26</f>
        <v/>
      </c>
      <c r="I26" t="inlineStr">
        <is>
          <t>est</t>
        </is>
      </c>
      <c r="J26" t="n">
        <v>0.8</v>
      </c>
      <c r="K26">
        <f>ROUND(H26*J26,0)</f>
        <v/>
      </c>
      <c r="L26" t="inlineStr">
        <is>
          <t>4 corners</t>
        </is>
      </c>
    </row>
    <row r="27">
      <c r="A27" t="inlineStr">
        <is>
          <t>AB1-503</t>
        </is>
      </c>
      <c r="B27" t="inlineStr">
        <is>
          <t>Safety</t>
        </is>
      </c>
      <c r="C27" t="inlineStr">
        <is>
          <t>Wireless E-stop transmitter + receiver, 1 km</t>
        </is>
      </c>
      <c r="D27" t="inlineStr">
        <is>
          <t>Humanistic Robotics</t>
        </is>
      </c>
      <c r="E27" t="inlineStr">
        <is>
          <t>HRI Wireless Emergency Stop</t>
        </is>
      </c>
      <c r="F27" t="n">
        <v>1</v>
      </c>
      <c r="G27" t="n">
        <v>1950</v>
      </c>
      <c r="H27">
        <f>F27*G27</f>
        <v/>
      </c>
      <c r="I27" t="inlineStr">
        <is>
          <t>est</t>
        </is>
      </c>
      <c r="J27" t="n">
        <v>0.8</v>
      </c>
      <c r="K27">
        <f>ROUND(H27*J27,0)</f>
        <v/>
      </c>
      <c r="L27" t="inlineStr">
        <is>
          <t>one handheld per field tech</t>
        </is>
      </c>
    </row>
    <row r="28">
      <c r="A28" t="inlineStr">
        <is>
          <t>AB1-504</t>
        </is>
      </c>
      <c r="B28" t="inlineStr">
        <is>
          <t>Safety</t>
        </is>
      </c>
      <c r="C28" t="inlineStr">
        <is>
          <t>Pressure-sensitive safety edge bumper + controller</t>
        </is>
      </c>
      <c r="D28" t="inlineStr">
        <is>
          <t>Mayser / ASO</t>
        </is>
      </c>
      <c r="E28" t="inlineStr">
        <is>
          <t>SENTIR edge + SG-EFS</t>
        </is>
      </c>
      <c r="F28" t="n">
        <v>2</v>
      </c>
      <c r="G28" t="n">
        <v>480</v>
      </c>
      <c r="H28">
        <f>F28*G28</f>
        <v/>
      </c>
      <c r="I28" t="inlineStr">
        <is>
          <t>est</t>
        </is>
      </c>
      <c r="J28" t="n">
        <v>0.8</v>
      </c>
      <c r="K28">
        <f>ROUND(H28*J28,0)</f>
        <v/>
      </c>
      <c r="L28" t="inlineStr">
        <is>
          <t>front + rear</t>
        </is>
      </c>
    </row>
    <row r="29">
      <c r="A29" t="inlineStr">
        <is>
          <t>AB1-505</t>
        </is>
      </c>
      <c r="B29" t="inlineStr">
        <is>
          <t>Safety</t>
        </is>
      </c>
      <c r="C29" t="inlineStr">
        <is>
          <t>Safety contactors (drive bus + arm bus cut)</t>
        </is>
      </c>
      <c r="D29" t="inlineStr">
        <is>
          <t>Schneider</t>
        </is>
      </c>
      <c r="E29" t="inlineStr">
        <is>
          <t>TeSys D LC1D25BD</t>
        </is>
      </c>
      <c r="F29" t="n">
        <v>2</v>
      </c>
      <c r="G29" t="n">
        <v>120</v>
      </c>
      <c r="H29">
        <f>F29*G29</f>
        <v/>
      </c>
      <c r="I29" t="inlineStr">
        <is>
          <t>est</t>
        </is>
      </c>
      <c r="J29" t="n">
        <v>0.9</v>
      </c>
      <c r="K29">
        <f>ROUND(H29*J29,0)</f>
        <v/>
      </c>
      <c r="L29" t="inlineStr"/>
    </row>
    <row r="30">
      <c r="A30" t="inlineStr">
        <is>
          <t>AB1-506</t>
        </is>
      </c>
      <c r="B30" t="inlineStr">
        <is>
          <t>Safety</t>
        </is>
      </c>
      <c r="C30" t="inlineStr">
        <is>
          <t>Stack light / beacon IP67, RGB + buzzer</t>
        </is>
      </c>
      <c r="D30" t="inlineStr">
        <is>
          <t>Banner</t>
        </is>
      </c>
      <c r="E30" t="inlineStr">
        <is>
          <t>TL50 Pro</t>
        </is>
      </c>
      <c r="F30" t="n">
        <v>1</v>
      </c>
      <c r="G30" t="n">
        <v>180</v>
      </c>
      <c r="H30">
        <f>F30*G30</f>
        <v/>
      </c>
      <c r="I30" t="inlineStr">
        <is>
          <t>est</t>
        </is>
      </c>
      <c r="J30" t="n">
        <v>0.8</v>
      </c>
      <c r="K30">
        <f>ROUND(H30*J30,0)</f>
        <v/>
      </c>
      <c r="L30" t="inlineStr"/>
    </row>
    <row r="31">
      <c r="A31" t="inlineStr">
        <is>
          <t>AB1-601</t>
        </is>
      </c>
      <c r="B31" t="inlineStr">
        <is>
          <t>Compute</t>
        </is>
      </c>
      <c r="C31" t="inlineStr">
        <is>
          <t>Edge computer 275 TOPS, 64 GB</t>
        </is>
      </c>
      <c r="D31" t="inlineStr">
        <is>
          <t>NVIDIA</t>
        </is>
      </c>
      <c r="E31" t="inlineStr">
        <is>
          <t>Jetson AGX Orin 64GB Developer Kit</t>
        </is>
      </c>
      <c r="F31" t="n">
        <v>1</v>
      </c>
      <c r="G31" t="n">
        <v>3499</v>
      </c>
      <c r="H31">
        <f>F31*G31</f>
        <v/>
      </c>
      <c r="I31" t="inlineStr">
        <is>
          <t>quote</t>
        </is>
      </c>
      <c r="J31" t="n">
        <v>0.85</v>
      </c>
      <c r="K31">
        <f>ROUND(H31*J31,0)</f>
        <v/>
      </c>
      <c r="L31" t="inlineStr">
        <is>
          <t>post-July-2026 price https://www.cnx-software.com/2026/07/22/nvidia-increases-the-price-of-jetson-modules-and-devkits-by-up-to-101/; rugged carrier at volume</t>
        </is>
      </c>
    </row>
    <row r="32">
      <c r="A32" t="inlineStr">
        <is>
          <t>AB1-602</t>
        </is>
      </c>
      <c r="B32" t="inlineStr">
        <is>
          <t>Compute</t>
        </is>
      </c>
      <c r="C32" t="inlineStr">
        <is>
          <t>NVMe SSD 2 TB industrial (logging, Field Ledger cache)</t>
        </is>
      </c>
      <c r="D32" t="inlineStr">
        <is>
          <t>Innodisk / Samsung</t>
        </is>
      </c>
      <c r="E32" t="inlineStr">
        <is>
          <t>PM9A3-class</t>
        </is>
      </c>
      <c r="F32" t="n">
        <v>1</v>
      </c>
      <c r="G32" t="n">
        <v>220</v>
      </c>
      <c r="H32">
        <f>F32*G32</f>
        <v/>
      </c>
      <c r="I32" t="inlineStr">
        <is>
          <t>est</t>
        </is>
      </c>
      <c r="J32" t="n">
        <v>0.8</v>
      </c>
      <c r="K32">
        <f>ROUND(H32*J32,0)</f>
        <v/>
      </c>
      <c r="L32" t="inlineStr"/>
    </row>
    <row r="33">
      <c r="A33" t="inlineStr">
        <is>
          <t>AB1-603</t>
        </is>
      </c>
      <c r="B33" t="inlineStr">
        <is>
          <t>Compute</t>
        </is>
      </c>
      <c r="C33" t="inlineStr">
        <is>
          <t>Real-time I/O MCU + 3x CAN-FD (micro-ROS)</t>
        </is>
      </c>
      <c r="D33" t="inlineStr">
        <is>
          <t>PJRC + SK Pang</t>
        </is>
      </c>
      <c r="E33" t="inlineStr">
        <is>
          <t>Teensy 4.1 + triple CAN board</t>
        </is>
      </c>
      <c r="F33" t="n">
        <v>1</v>
      </c>
      <c r="G33" t="n">
        <v>95</v>
      </c>
      <c r="H33">
        <f>F33*G33</f>
        <v/>
      </c>
      <c r="I33" t="inlineStr">
        <is>
          <t>est</t>
        </is>
      </c>
      <c r="J33" t="n">
        <v>0.6</v>
      </c>
      <c r="K33">
        <f>ROUND(H33*J33,0)</f>
        <v/>
      </c>
      <c r="L33" t="inlineStr">
        <is>
          <t>motors, BMS, safety status</t>
        </is>
      </c>
    </row>
    <row r="34">
      <c r="A34" t="inlineStr">
        <is>
          <t>AB1-606</t>
        </is>
      </c>
      <c r="B34" t="inlineStr">
        <is>
          <t>Comms</t>
        </is>
      </c>
      <c r="C34" t="inlineStr">
        <is>
          <t>Industrial unmanaged Ethernet switch 8x GbE, 12-48 VDC</t>
        </is>
      </c>
      <c r="D34" t="inlineStr">
        <is>
          <t>Moxa</t>
        </is>
      </c>
      <c r="E34" t="inlineStr">
        <is>
          <t>EDS-208A-T</t>
        </is>
      </c>
      <c r="F34" t="n">
        <v>1</v>
      </c>
      <c r="G34" t="n">
        <v>220</v>
      </c>
      <c r="H34">
        <f>F34*G34</f>
        <v/>
      </c>
      <c r="I34" t="inlineStr">
        <is>
          <t>est</t>
        </is>
      </c>
      <c r="J34" t="n">
        <v>0.8</v>
      </c>
      <c r="K34">
        <f>ROUND(H34*J34,0)</f>
        <v/>
      </c>
      <c r="L34" t="inlineStr">
        <is>
          <t>lidar, 2 arms, router, Teensy</t>
        </is>
      </c>
    </row>
    <row r="35">
      <c r="A35" t="inlineStr">
        <is>
          <t>AB1-607</t>
        </is>
      </c>
      <c r="B35" t="inlineStr">
        <is>
          <t>Compute</t>
        </is>
      </c>
      <c r="C35" t="inlineStr">
        <is>
          <t>Powered industrial USB3 hub, 4 port, locking</t>
        </is>
      </c>
      <c r="D35" t="inlineStr">
        <is>
          <t>StarTech / Advantech</t>
        </is>
      </c>
      <c r="E35" t="inlineStr">
        <is>
          <t>ST4300USB3GB-class</t>
        </is>
      </c>
      <c r="F35" t="n">
        <v>1</v>
      </c>
      <c r="G35" t="n">
        <v>160</v>
      </c>
      <c r="H35">
        <f>F35*G35</f>
        <v/>
      </c>
      <c r="I35" t="inlineStr">
        <is>
          <t>est</t>
        </is>
      </c>
      <c r="J35" t="n">
        <v>0.8</v>
      </c>
      <c r="K35">
        <f>ROUND(H35*J35,0)</f>
        <v/>
      </c>
      <c r="L35" t="inlineStr">
        <is>
          <t>2x D405, GNSS, IMU</t>
        </is>
      </c>
    </row>
    <row r="36">
      <c r="A36" t="inlineStr">
        <is>
          <t>AB1-604</t>
        </is>
      </c>
      <c r="B36" t="inlineStr">
        <is>
          <t>Comms</t>
        </is>
      </c>
      <c r="C36" t="inlineStr">
        <is>
          <t>5G/LTE industrial router, dual SIM, Wi-Fi 6</t>
        </is>
      </c>
      <c r="D36" t="inlineStr">
        <is>
          <t>Teltonika</t>
        </is>
      </c>
      <c r="E36" t="inlineStr">
        <is>
          <t>RUTX50</t>
        </is>
      </c>
      <c r="F36" t="n">
        <v>1</v>
      </c>
      <c r="G36" t="n">
        <v>520</v>
      </c>
      <c r="H36">
        <f>F36*G36</f>
        <v/>
      </c>
      <c r="I36" t="inlineStr">
        <is>
          <t>est</t>
        </is>
      </c>
      <c r="J36" t="n">
        <v>0.8</v>
      </c>
      <c r="K36">
        <f>ROUND(H36*J36,0)</f>
        <v/>
      </c>
      <c r="L36" t="inlineStr"/>
    </row>
    <row r="37">
      <c r="A37" t="inlineStr">
        <is>
          <t>AB1-605</t>
        </is>
      </c>
      <c r="B37" t="inlineStr">
        <is>
          <t>Comms</t>
        </is>
      </c>
      <c r="C37" t="inlineStr">
        <is>
          <t>Roof antennas 5G MIMO + Wi-Fi, IP67</t>
        </is>
      </c>
      <c r="D37" t="inlineStr">
        <is>
          <t>Taoglas / Poynting</t>
        </is>
      </c>
      <c r="E37" t="inlineStr">
        <is>
          <t>MA1508 / OMNI-402</t>
        </is>
      </c>
      <c r="F37" t="n">
        <v>1</v>
      </c>
      <c r="G37" t="n">
        <v>160</v>
      </c>
      <c r="H37">
        <f>F37*G37</f>
        <v/>
      </c>
      <c r="I37" t="inlineStr">
        <is>
          <t>est</t>
        </is>
      </c>
      <c r="J37" t="n">
        <v>0.8</v>
      </c>
      <c r="K37">
        <f>ROUND(H37*J37,0)</f>
        <v/>
      </c>
      <c r="L37" t="inlineStr"/>
    </row>
    <row r="38">
      <c r="A38" t="inlineStr">
        <is>
          <t>AB1-701</t>
        </is>
      </c>
      <c r="B38" t="inlineStr">
        <is>
          <t>Sensing</t>
        </is>
      </c>
      <c r="C38" t="inlineStr">
        <is>
          <t>3D lidar 360x59 deg, 70 m, IP67</t>
        </is>
      </c>
      <c r="D38" t="inlineStr">
        <is>
          <t>Livox</t>
        </is>
      </c>
      <c r="E38" t="inlineStr">
        <is>
          <t>Mid-360</t>
        </is>
      </c>
      <c r="F38" t="n">
        <v>1</v>
      </c>
      <c r="G38" t="n">
        <v>749</v>
      </c>
      <c r="H38">
        <f>F38*G38</f>
        <v/>
      </c>
      <c r="I38" t="inlineStr">
        <is>
          <t>quote</t>
        </is>
      </c>
      <c r="J38" t="n">
        <v>0.8</v>
      </c>
      <c r="K38">
        <f>ROUND(H38*J38,0)</f>
        <v/>
      </c>
      <c r="L38" t="inlineStr">
        <is>
          <t>https://www.livoxtech.com/news/mid360_launch</t>
        </is>
      </c>
    </row>
    <row r="39">
      <c r="A39" t="inlineStr">
        <is>
          <t>AB1-702</t>
        </is>
      </c>
      <c r="B39" t="inlineStr">
        <is>
          <t>Sensing</t>
        </is>
      </c>
      <c r="C39" t="inlineStr">
        <is>
          <t>Dual-antenna RTK GNSS heading kit (2x ZED-F9P + 2 antennas)</t>
        </is>
      </c>
      <c r="D39" t="inlineStr">
        <is>
          <t>ArduSimple</t>
        </is>
      </c>
      <c r="E39" t="inlineStr">
        <is>
          <t>simpleRTK2B Heading kit</t>
        </is>
      </c>
      <c r="F39" t="n">
        <v>1</v>
      </c>
      <c r="G39" t="n">
        <v>650</v>
      </c>
      <c r="H39">
        <f>F39*G39</f>
        <v/>
      </c>
      <c r="I39" t="inlineStr">
        <is>
          <t>est</t>
        </is>
      </c>
      <c r="J39" t="n">
        <v>0.8</v>
      </c>
      <c r="K39">
        <f>ROUND(H39*J39,0)</f>
        <v/>
      </c>
      <c r="L39" t="inlineStr">
        <is>
          <t>FDOT FPRN NTRIP corrections (free in FL)</t>
        </is>
      </c>
    </row>
    <row r="40">
      <c r="A40" t="inlineStr">
        <is>
          <t>AB1-703</t>
        </is>
      </c>
      <c r="B40" t="inlineStr">
        <is>
          <t>Sensing</t>
        </is>
      </c>
      <c r="C40" t="inlineStr">
        <is>
          <t>Tactical-grade AHRS IMU</t>
        </is>
      </c>
      <c r="D40" t="inlineStr">
        <is>
          <t>HBK MicroStrain</t>
        </is>
      </c>
      <c r="E40" t="inlineStr">
        <is>
          <t>3DM-CV7-AHRS</t>
        </is>
      </c>
      <c r="F40" t="n">
        <v>1</v>
      </c>
      <c r="G40" t="n">
        <v>1000</v>
      </c>
      <c r="H40">
        <f>F40*G40</f>
        <v/>
      </c>
      <c r="I40" t="inlineStr">
        <is>
          <t>est</t>
        </is>
      </c>
      <c r="J40" t="n">
        <v>0.8</v>
      </c>
      <c r="K40">
        <f>ROUND(H40*J40,0)</f>
        <v/>
      </c>
      <c r="L40" t="inlineStr"/>
    </row>
    <row r="41">
      <c r="A41" t="inlineStr">
        <is>
          <t>AB1-801</t>
        </is>
      </c>
      <c r="B41" t="inlineStr">
        <is>
          <t>Enclosure</t>
        </is>
      </c>
      <c r="C41" t="inlineStr">
        <is>
          <t>IP66 enclosure ~600x300x150, polycarbonate, under deck</t>
        </is>
      </c>
      <c r="D41" t="inlineStr">
        <is>
          <t>Fibox / Hammond</t>
        </is>
      </c>
      <c r="E41" t="inlineStr">
        <is>
          <t>ARCA / 1414 series</t>
        </is>
      </c>
      <c r="F41" t="n">
        <v>1</v>
      </c>
      <c r="G41" t="n">
        <v>260</v>
      </c>
      <c r="H41">
        <f>F41*G41</f>
        <v/>
      </c>
      <c r="I41" t="inlineStr">
        <is>
          <t>est</t>
        </is>
      </c>
      <c r="J41" t="n">
        <v>0.7</v>
      </c>
      <c r="K41">
        <f>ROUND(H41*J41,0)</f>
        <v/>
      </c>
      <c r="L41" t="inlineStr"/>
    </row>
    <row r="42">
      <c r="A42" t="inlineStr">
        <is>
          <t>AB1-802</t>
        </is>
      </c>
      <c r="B42" t="inlineStr">
        <is>
          <t>Enclosure</t>
        </is>
      </c>
      <c r="C42" t="inlineStr">
        <is>
          <t>Thermoelectric enclosure cooler 24 V, ~120 W cooling</t>
        </is>
      </c>
      <c r="D42" t="inlineStr">
        <is>
          <t>EIC Solutions</t>
        </is>
      </c>
      <c r="E42" t="inlineStr">
        <is>
          <t>ThermoTEC AAC-141-4XT (24 VDC)</t>
        </is>
      </c>
      <c r="F42" t="n">
        <v>1</v>
      </c>
      <c r="G42" t="n">
        <v>1100</v>
      </c>
      <c r="H42">
        <f>F42*G42</f>
        <v/>
      </c>
      <c r="I42" t="inlineStr">
        <is>
          <t>est</t>
        </is>
      </c>
      <c r="J42" t="n">
        <v>0.7</v>
      </c>
      <c r="K42">
        <f>ROUND(H42*J42,0)</f>
        <v/>
      </c>
      <c r="L42" t="inlineStr">
        <is>
          <t>Florida summer: 35 C ambient + sun</t>
        </is>
      </c>
    </row>
    <row r="43">
      <c r="A43" t="inlineStr">
        <is>
          <t>AB1-803</t>
        </is>
      </c>
      <c r="B43" t="inlineStr">
        <is>
          <t>Harness</t>
        </is>
      </c>
      <c r="C43" t="inlineStr">
        <is>
          <t>Wire, Deutsch DT/DTM connectors, M12, glands, loom, labels</t>
        </is>
      </c>
      <c r="D43" t="inlineStr">
        <is>
          <t>TE / Amphenol / Lapp</t>
        </is>
      </c>
      <c r="E43" t="inlineStr">
        <is>
          <t>see electrical/harness.csv</t>
        </is>
      </c>
      <c r="F43" t="n">
        <v>1</v>
      </c>
      <c r="G43" t="n">
        <v>650</v>
      </c>
      <c r="H43">
        <f>F43*G43</f>
        <v/>
      </c>
      <c r="I43" t="inlineStr">
        <is>
          <t>est</t>
        </is>
      </c>
      <c r="J43" t="n">
        <v>0.6</v>
      </c>
      <c r="K43">
        <f>ROUND(H43*J43,0)</f>
        <v/>
      </c>
      <c r="L43" t="inlineStr"/>
    </row>
    <row r="44">
      <c r="A44" t="inlineStr">
        <is>
          <t>AB1-804</t>
        </is>
      </c>
      <c r="B44" t="inlineStr">
        <is>
          <t>Lighting</t>
        </is>
      </c>
      <c r="C44" t="inlineStr">
        <is>
          <t>LED work/flood light 24 V 40 W IP68</t>
        </is>
      </c>
      <c r="D44" t="inlineStr">
        <is>
          <t>Rigid Industries</t>
        </is>
      </c>
      <c r="E44" t="inlineStr">
        <is>
          <t>D-Series Pro flood</t>
        </is>
      </c>
      <c r="F44" t="n">
        <v>4</v>
      </c>
      <c r="G44" t="n">
        <v>180</v>
      </c>
      <c r="H44">
        <f>F44*G44</f>
        <v/>
      </c>
      <c r="I44" t="inlineStr">
        <is>
          <t>est</t>
        </is>
      </c>
      <c r="J44" t="n">
        <v>0.6</v>
      </c>
      <c r="K44">
        <f>ROUND(H44*J44,0)</f>
        <v/>
      </c>
      <c r="L44" t="inlineStr">
        <is>
          <t>night picking (18 h/day)</t>
        </is>
      </c>
    </row>
    <row r="45">
      <c r="G45" s="4" t="inlineStr">
        <is>
          <t>TOTAL</t>
        </is>
      </c>
      <c r="H45" s="4">
        <f>SUM(H2:H44)</f>
        <v/>
      </c>
      <c r="K45" s="4">
        <f>SUM(K2:K44)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8" customWidth="1" min="3" max="3"/>
    <col width="24" customWidth="1" min="4" max="4"/>
    <col width="30" customWidth="1" min="5" max="5"/>
    <col width="5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60" customWidth="1" min="12" max="12"/>
  </cols>
  <sheetData>
    <row r="1">
      <c r="A1" s="2" t="inlineStr">
        <is>
          <t>part_no</t>
        </is>
      </c>
      <c r="B1" s="2" t="inlineStr">
        <is>
          <t>subsystem</t>
        </is>
      </c>
      <c r="C1" s="2" t="inlineStr">
        <is>
          <t>description</t>
        </is>
      </c>
      <c r="D1" s="2" t="inlineStr">
        <is>
          <t>manufacturer</t>
        </is>
      </c>
      <c r="E1" s="2" t="inlineStr">
        <is>
          <t>model_mpn</t>
        </is>
      </c>
      <c r="F1" s="2" t="inlineStr">
        <is>
          <t>qty</t>
        </is>
      </c>
      <c r="G1" s="2" t="inlineStr">
        <is>
          <t>unit_usd</t>
        </is>
      </c>
      <c r="H1" s="2" t="inlineStr">
        <is>
          <t>ext_usd</t>
        </is>
      </c>
      <c r="I1" s="2" t="inlineStr">
        <is>
          <t>price_basis</t>
        </is>
      </c>
      <c r="J1" s="2" t="inlineStr">
        <is>
          <t>vol100_factor</t>
        </is>
      </c>
      <c r="K1" s="2" t="inlineStr">
        <is>
          <t>ext_usd_at_100_units</t>
        </is>
      </c>
      <c r="L1" s="2" t="inlineStr">
        <is>
          <t>notes</t>
        </is>
      </c>
    </row>
    <row r="2">
      <c r="A2" t="inlineStr">
        <is>
          <t>HM1-001</t>
        </is>
      </c>
      <c r="B2" t="inlineStr">
        <is>
          <t>Arms</t>
        </is>
      </c>
      <c r="C2" t="inlineStr">
        <is>
          <t>6-axis cobot 5 kg / 922 mm, IP54 arm, DC MINI controller 30-60 VDC</t>
        </is>
      </c>
      <c r="D2" t="inlineStr">
        <is>
          <t>FAIRINO</t>
        </is>
      </c>
      <c r="E2" t="inlineStr">
        <is>
          <t>FR5 (DC controller)</t>
        </is>
      </c>
      <c r="F2" t="n">
        <v>2</v>
      </c>
      <c r="G2" t="n">
        <v>6999</v>
      </c>
      <c r="H2">
        <f>F2*G2</f>
        <v/>
      </c>
      <c r="I2" t="inlineStr">
        <is>
          <t>quote</t>
        </is>
      </c>
      <c r="J2" t="n">
        <v>0.85</v>
      </c>
      <c r="K2">
        <f>ROUND(H2*J2,0)</f>
        <v/>
      </c>
      <c r="L2" t="inlineStr">
        <is>
          <t>https://top3dshop.com/product/fairino-fr5-robotic-arm; confirm DC controller price + IP65 option</t>
        </is>
      </c>
    </row>
    <row r="3">
      <c r="A3" t="inlineStr">
        <is>
          <t>HM1-002</t>
        </is>
      </c>
      <c r="B3" t="inlineStr">
        <is>
          <t>Arms</t>
        </is>
      </c>
      <c r="C3" t="inlineStr">
        <is>
          <t>Arm dress pack + cable carrier (vacuum, RS485, 24 V, USB3)</t>
        </is>
      </c>
      <c r="D3" t="inlineStr">
        <is>
          <t>igus</t>
        </is>
      </c>
      <c r="E3" t="inlineStr">
        <is>
          <t>triflex R TRE.40</t>
        </is>
      </c>
      <c r="F3" t="n">
        <v>2</v>
      </c>
      <c r="G3" t="n">
        <v>250</v>
      </c>
      <c r="H3">
        <f>F3*G3</f>
        <v/>
      </c>
      <c r="I3" t="inlineStr">
        <is>
          <t>est</t>
        </is>
      </c>
      <c r="J3" t="n">
        <v>0.7</v>
      </c>
      <c r="K3">
        <f>ROUND(H3*J3,0)</f>
        <v/>
      </c>
      <c r="L3" t="inlineStr"/>
    </row>
    <row r="4">
      <c r="A4" t="inlineStr">
        <is>
          <t>HM1-003</t>
        </is>
      </c>
      <c r="B4" t="inlineStr">
        <is>
          <t>Arms</t>
        </is>
      </c>
      <c r="C4" t="inlineStr">
        <is>
          <t>Arm rain/dust cover, breathable PTFE fabric</t>
        </is>
      </c>
      <c r="D4" t="inlineStr">
        <is>
          <t>RoboSuits / Roboworld</t>
        </is>
      </c>
      <c r="E4" t="inlineStr">
        <is>
          <t>custom FR5</t>
        </is>
      </c>
      <c r="F4" t="n">
        <v>2</v>
      </c>
      <c r="G4" t="n">
        <v>450</v>
      </c>
      <c r="H4">
        <f>F4*G4</f>
        <v/>
      </c>
      <c r="I4" t="inlineStr">
        <is>
          <t>est</t>
        </is>
      </c>
      <c r="J4" t="n">
        <v>0.6</v>
      </c>
      <c r="K4">
        <f>ROUND(H4*J4,0)</f>
        <v/>
      </c>
      <c r="L4" t="inlineStr">
        <is>
          <t>keeps the IP54 arm usable in FL rain</t>
        </is>
      </c>
    </row>
    <row r="5">
      <c r="A5" t="inlineStr">
        <is>
          <t>HM1-101</t>
        </is>
      </c>
      <c r="B5" t="inlineStr">
        <is>
          <t>Mast</t>
        </is>
      </c>
      <c r="C5" t="inlineStr">
        <is>
          <t>Arm mount plate 20 mm 6061, machined</t>
        </is>
      </c>
      <c r="D5" t="inlineStr">
        <is>
          <t>Xometry</t>
        </is>
      </c>
      <c r="E5" t="inlineStr">
        <is>
          <t>cad/dxf/HM1-101</t>
        </is>
      </c>
      <c r="F5" t="n">
        <v>2</v>
      </c>
      <c r="G5" t="n">
        <v>140</v>
      </c>
      <c r="H5">
        <f>F5*G5</f>
        <v/>
      </c>
      <c r="I5" t="inlineStr">
        <is>
          <t>est</t>
        </is>
      </c>
      <c r="J5" t="n">
        <v>0.5</v>
      </c>
      <c r="K5">
        <f>ROUND(H5*J5,0)</f>
        <v/>
      </c>
      <c r="L5" t="inlineStr">
        <is>
          <t>verify FR5 base bolt pattern from vendor drawing</t>
        </is>
      </c>
    </row>
    <row r="6">
      <c r="A6" t="inlineStr">
        <is>
          <t>HM1-102</t>
        </is>
      </c>
      <c r="B6" t="inlineStr">
        <is>
          <t>Mast</t>
        </is>
      </c>
      <c r="C6" t="inlineStr">
        <is>
          <t>1530 profile posts + beams (in AB1-101 cut list) + gussets</t>
        </is>
      </c>
      <c r="D6" t="inlineStr">
        <is>
          <t>80/20 Inc.</t>
        </is>
      </c>
      <c r="E6" t="n">
        <v>1530</v>
      </c>
      <c r="F6" t="n">
        <v>1</v>
      </c>
      <c r="G6" t="n">
        <v>520</v>
      </c>
      <c r="H6">
        <f>F6*G6</f>
        <v/>
      </c>
      <c r="I6" t="inlineStr">
        <is>
          <t>est</t>
        </is>
      </c>
      <c r="J6" t="n">
        <v>0.6</v>
      </c>
      <c r="K6">
        <f>ROUND(H6*J6,0)</f>
        <v/>
      </c>
      <c r="L6" t="inlineStr"/>
    </row>
    <row r="7">
      <c r="A7" t="inlineStr">
        <is>
          <t>HM1-201</t>
        </is>
      </c>
      <c r="B7" t="inlineStr">
        <is>
          <t>Perception</t>
        </is>
      </c>
      <c r="C7" t="inlineStr">
        <is>
          <t>Stereo camera, global shutter, GMSL2, IP67, wide lens</t>
        </is>
      </c>
      <c r="D7" t="inlineStr">
        <is>
          <t>Stereolabs</t>
        </is>
      </c>
      <c r="E7" t="inlineStr">
        <is>
          <t>ZED X (ZED-311110)</t>
        </is>
      </c>
      <c r="F7" t="n">
        <v>2</v>
      </c>
      <c r="G7" t="n">
        <v>599</v>
      </c>
      <c r="H7">
        <f>F7*G7</f>
        <v/>
      </c>
      <c r="I7" t="inlineStr">
        <is>
          <t>quote</t>
        </is>
      </c>
      <c r="J7" t="n">
        <v>0.85</v>
      </c>
      <c r="K7">
        <f>ROUND(H7*J7,0)</f>
        <v/>
      </c>
      <c r="L7" t="inlineStr">
        <is>
          <t>https://stereolabs.com/store/products/zed-x-stereo-camera</t>
        </is>
      </c>
    </row>
    <row r="8">
      <c r="A8" t="inlineStr">
        <is>
          <t>HM1-202</t>
        </is>
      </c>
      <c r="B8" t="inlineStr">
        <is>
          <t>Perception</t>
        </is>
      </c>
      <c r="C8" t="inlineStr">
        <is>
          <t>GMSL2 capture card, 2 ports, for AGX Orin</t>
        </is>
      </c>
      <c r="D8" t="inlineStr">
        <is>
          <t>Stereolabs</t>
        </is>
      </c>
      <c r="E8" t="inlineStr">
        <is>
          <t>ZED Link Duo</t>
        </is>
      </c>
      <c r="F8" t="n">
        <v>1</v>
      </c>
      <c r="G8" t="n">
        <v>379</v>
      </c>
      <c r="H8">
        <f>F8*G8</f>
        <v/>
      </c>
      <c r="I8" t="inlineStr">
        <is>
          <t>quote</t>
        </is>
      </c>
      <c r="J8" t="n">
        <v>0.85</v>
      </c>
      <c r="K8">
        <f>ROUND(H8*J8,0)</f>
        <v/>
      </c>
      <c r="L8" t="inlineStr">
        <is>
          <t>https://stereolabs.com/store/products/zed-x-stereo-camera</t>
        </is>
      </c>
    </row>
    <row r="9">
      <c r="A9" t="inlineStr">
        <is>
          <t>HM1-203</t>
        </is>
      </c>
      <c r="B9" t="inlineStr">
        <is>
          <t>Perception</t>
        </is>
      </c>
      <c r="C9" t="inlineStr">
        <is>
          <t>GMSL2 Fakra cable 5 m</t>
        </is>
      </c>
      <c r="D9" t="inlineStr">
        <is>
          <t>Stereolabs</t>
        </is>
      </c>
      <c r="E9" t="inlineStr"/>
      <c r="F9" t="n">
        <v>2</v>
      </c>
      <c r="G9" t="n">
        <v>45</v>
      </c>
      <c r="H9">
        <f>F9*G9</f>
        <v/>
      </c>
      <c r="I9" t="inlineStr">
        <is>
          <t>quote</t>
        </is>
      </c>
      <c r="J9" t="n">
        <v>0.8</v>
      </c>
      <c r="K9">
        <f>ROUND(H9*J9,0)</f>
        <v/>
      </c>
      <c r="L9" t="inlineStr"/>
    </row>
    <row r="10">
      <c r="A10" t="inlineStr">
        <is>
          <t>HM1-301</t>
        </is>
      </c>
      <c r="B10" t="inlineStr">
        <is>
          <t>Vacuum</t>
        </is>
      </c>
      <c r="C10" t="inlineStr">
        <is>
          <t>Diaphragm vacuum pump 24 V, -75 kPa, 10 L/min</t>
        </is>
      </c>
      <c r="D10" t="inlineStr">
        <is>
          <t>Parker / Thomas</t>
        </is>
      </c>
      <c r="E10" t="inlineStr">
        <is>
          <t>BTC-IIS / 2002 series</t>
        </is>
      </c>
      <c r="F10" t="n">
        <v>2</v>
      </c>
      <c r="G10" t="n">
        <v>220</v>
      </c>
      <c r="H10">
        <f>F10*G10</f>
        <v/>
      </c>
      <c r="I10" t="inlineStr">
        <is>
          <t>est</t>
        </is>
      </c>
      <c r="J10" t="n">
        <v>0.7</v>
      </c>
      <c r="K10">
        <f>ROUND(H10*J10,0)</f>
        <v/>
      </c>
      <c r="L10" t="inlineStr">
        <is>
          <t>one per arm</t>
        </is>
      </c>
    </row>
    <row r="11">
      <c r="A11" t="inlineStr">
        <is>
          <t>HM1-302</t>
        </is>
      </c>
      <c r="B11" t="inlineStr">
        <is>
          <t>Vacuum</t>
        </is>
      </c>
      <c r="C11" t="inlineStr">
        <is>
          <t>3/2 solenoid valve 24 V + blow-off</t>
        </is>
      </c>
      <c r="D11" t="inlineStr">
        <is>
          <t>SMC</t>
        </is>
      </c>
      <c r="E11" t="inlineStr">
        <is>
          <t>VQ110 / SYJ3000</t>
        </is>
      </c>
      <c r="F11" t="n">
        <v>2</v>
      </c>
      <c r="G11" t="n">
        <v>60</v>
      </c>
      <c r="H11">
        <f>F11*G11</f>
        <v/>
      </c>
      <c r="I11" t="inlineStr">
        <is>
          <t>est</t>
        </is>
      </c>
      <c r="J11" t="n">
        <v>0.8</v>
      </c>
      <c r="K11">
        <f>ROUND(H11*J11,0)</f>
        <v/>
      </c>
      <c r="L11" t="inlineStr"/>
    </row>
    <row r="12">
      <c r="A12" t="inlineStr">
        <is>
          <t>HM1-303</t>
        </is>
      </c>
      <c r="B12" t="inlineStr">
        <is>
          <t>Vacuum</t>
        </is>
      </c>
      <c r="C12" t="inlineStr">
        <is>
          <t>Digital vacuum switch (seal / contact detect)</t>
        </is>
      </c>
      <c r="D12" t="inlineStr">
        <is>
          <t>SMC</t>
        </is>
      </c>
      <c r="E12" t="inlineStr">
        <is>
          <t>ZSE20A</t>
        </is>
      </c>
      <c r="F12" t="n">
        <v>2</v>
      </c>
      <c r="G12" t="n">
        <v>110</v>
      </c>
      <c r="H12">
        <f>F12*G12</f>
        <v/>
      </c>
      <c r="I12" t="inlineStr">
        <is>
          <t>est</t>
        </is>
      </c>
      <c r="J12" t="n">
        <v>0.8</v>
      </c>
      <c r="K12">
        <f>ROUND(H12*J12,0)</f>
        <v/>
      </c>
      <c r="L12" t="inlineStr"/>
    </row>
    <row r="13">
      <c r="A13" t="inlineStr">
        <is>
          <t>HM1-401</t>
        </is>
      </c>
      <c r="B13" t="inlineStr">
        <is>
          <t>Logistics</t>
        </is>
      </c>
      <c r="C13" t="inlineStr">
        <is>
          <t>Stacking tote 600x500x350, food-grade, foam liner</t>
        </is>
      </c>
      <c r="D13" t="inlineStr">
        <is>
          <t>ORBIS</t>
        </is>
      </c>
      <c r="E13" t="inlineStr">
        <is>
          <t>Stak-N-Nest equiv.</t>
        </is>
      </c>
      <c r="F13" t="n">
        <v>2</v>
      </c>
      <c r="G13" t="n">
        <v>75</v>
      </c>
      <c r="H13">
        <f>F13*G13</f>
        <v/>
      </c>
      <c r="I13" t="inlineStr">
        <is>
          <t>est</t>
        </is>
      </c>
      <c r="J13" t="n">
        <v>0.8</v>
      </c>
      <c r="K13">
        <f>ROUND(H13*J13,0)</f>
        <v/>
      </c>
      <c r="L13" t="inlineStr">
        <is>
          <t>35 kg fruit each</t>
        </is>
      </c>
    </row>
    <row r="14">
      <c r="A14" t="inlineStr">
        <is>
          <t>HM1-402</t>
        </is>
      </c>
      <c r="B14" t="inlineStr">
        <is>
          <t>Logistics</t>
        </is>
      </c>
      <c r="C14" t="inlineStr">
        <is>
          <t>Tote transfer deck: 24 V MDR roller zone + driver card</t>
        </is>
      </c>
      <c r="D14" t="inlineStr">
        <is>
          <t>Interroll</t>
        </is>
      </c>
      <c r="E14" t="inlineStr">
        <is>
          <t>EC5000 + DriveControl 20</t>
        </is>
      </c>
      <c r="F14" t="n">
        <v>2</v>
      </c>
      <c r="G14" t="n">
        <v>1200</v>
      </c>
      <c r="H14">
        <f>F14*G14</f>
        <v/>
      </c>
      <c r="I14" t="inlineStr">
        <is>
          <t>est</t>
        </is>
      </c>
      <c r="J14" t="n">
        <v>0.6</v>
      </c>
      <c r="K14">
        <f>ROUND(H14*J14,0)</f>
        <v/>
      </c>
      <c r="L14" t="inlineStr">
        <is>
          <t>rolls totes sideways to the hauler at the headland</t>
        </is>
      </c>
    </row>
    <row r="15">
      <c r="G15" s="4" t="inlineStr">
        <is>
          <t>TOTAL</t>
        </is>
      </c>
      <c r="H15" s="4">
        <f>SUM(H2:H14)</f>
        <v/>
      </c>
      <c r="K15" s="4">
        <f>SUM(K2:K14)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8" customWidth="1" min="3" max="3"/>
    <col width="24" customWidth="1" min="4" max="4"/>
    <col width="30" customWidth="1" min="5" max="5"/>
    <col width="5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60" customWidth="1" min="12" max="12"/>
  </cols>
  <sheetData>
    <row r="1">
      <c r="A1" s="2" t="inlineStr">
        <is>
          <t>part_no</t>
        </is>
      </c>
      <c r="B1" s="2" t="inlineStr">
        <is>
          <t>subsystem</t>
        </is>
      </c>
      <c r="C1" s="2" t="inlineStr">
        <is>
          <t>description</t>
        </is>
      </c>
      <c r="D1" s="2" t="inlineStr">
        <is>
          <t>manufacturer</t>
        </is>
      </c>
      <c r="E1" s="2" t="inlineStr">
        <is>
          <t>model_mpn</t>
        </is>
      </c>
      <c r="F1" s="2" t="inlineStr">
        <is>
          <t>qty</t>
        </is>
      </c>
      <c r="G1" s="2" t="inlineStr">
        <is>
          <t>unit_usd</t>
        </is>
      </c>
      <c r="H1" s="2" t="inlineStr">
        <is>
          <t>ext_usd</t>
        </is>
      </c>
      <c r="I1" s="2" t="inlineStr">
        <is>
          <t>price_basis</t>
        </is>
      </c>
      <c r="J1" s="2" t="inlineStr">
        <is>
          <t>vol100_factor</t>
        </is>
      </c>
      <c r="K1" s="2" t="inlineStr">
        <is>
          <t>ext_usd_at_100_units</t>
        </is>
      </c>
      <c r="L1" s="2" t="inlineStr">
        <is>
          <t>notes</t>
        </is>
      </c>
    </row>
    <row r="2">
      <c r="A2" t="inlineStr">
        <is>
          <t>EE1-001</t>
        </is>
      </c>
      <c r="B2" t="inlineStr">
        <is>
          <t>Mechanical</t>
        </is>
      </c>
      <c r="C2" t="inlineStr">
        <is>
          <t>ISO 9409-1-50-4-M6 flange adapter, 6061 CNC</t>
        </is>
      </c>
      <c r="D2" t="inlineStr">
        <is>
          <t>Xometry</t>
        </is>
      </c>
      <c r="E2" t="inlineStr">
        <is>
          <t>cad/step/EE1-001</t>
        </is>
      </c>
      <c r="F2" t="n">
        <v>1</v>
      </c>
      <c r="G2" t="n">
        <v>85</v>
      </c>
      <c r="H2">
        <f>F2*G2</f>
        <v/>
      </c>
      <c r="I2" t="inlineStr">
        <is>
          <t>est</t>
        </is>
      </c>
      <c r="J2" t="n">
        <v>0.4</v>
      </c>
      <c r="K2">
        <f>ROUND(H2*J2,0)</f>
        <v/>
      </c>
      <c r="L2" t="inlineStr"/>
    </row>
    <row r="3">
      <c r="A3" t="inlineStr">
        <is>
          <t>EE1-002</t>
        </is>
      </c>
      <c r="B3" t="inlineStr">
        <is>
          <t>Mechanical</t>
        </is>
      </c>
      <c r="C3" t="inlineStr">
        <is>
          <t>Sealed housing, MJF PA12 + O-ring grooves (IP65 target)</t>
        </is>
      </c>
      <c r="D3" t="inlineStr">
        <is>
          <t>Xometry / HP MJF</t>
        </is>
      </c>
      <c r="E3" t="inlineStr">
        <is>
          <t>cad/stl/EE1-002</t>
        </is>
      </c>
      <c r="F3" t="n">
        <v>1</v>
      </c>
      <c r="G3" t="n">
        <v>120</v>
      </c>
      <c r="H3">
        <f>F3*G3</f>
        <v/>
      </c>
      <c r="I3" t="inlineStr">
        <is>
          <t>est</t>
        </is>
      </c>
      <c r="J3" t="n">
        <v>0.3</v>
      </c>
      <c r="K3">
        <f>ROUND(H3*J3,0)</f>
        <v/>
      </c>
      <c r="L3" t="inlineStr">
        <is>
          <t>injection mould at volume</t>
        </is>
      </c>
    </row>
    <row r="4">
      <c r="A4" t="inlineStr">
        <is>
          <t>EE1-003</t>
        </is>
      </c>
      <c r="B4" t="inlineStr">
        <is>
          <t>Mechanical</t>
        </is>
      </c>
      <c r="C4" t="inlineStr">
        <is>
          <t>Front plate with 3 finger clevises, MJF PA12</t>
        </is>
      </c>
      <c r="D4" t="inlineStr">
        <is>
          <t>Xometry</t>
        </is>
      </c>
      <c r="E4" t="inlineStr">
        <is>
          <t>cad/stl/EE1-003</t>
        </is>
      </c>
      <c r="F4" t="n">
        <v>1</v>
      </c>
      <c r="G4" t="n">
        <v>45</v>
      </c>
      <c r="H4">
        <f>F4*G4</f>
        <v/>
      </c>
      <c r="I4" t="inlineStr">
        <is>
          <t>est</t>
        </is>
      </c>
      <c r="J4" t="n">
        <v>0.3</v>
      </c>
      <c r="K4">
        <f>ROUND(H4*J4,0)</f>
        <v/>
      </c>
      <c r="L4" t="inlineStr"/>
    </row>
    <row r="5">
      <c r="A5" t="inlineStr">
        <is>
          <t>EE1-004</t>
        </is>
      </c>
      <c r="B5" t="inlineStr">
        <is>
          <t>Mechanical</t>
        </is>
      </c>
      <c r="C5" t="inlineStr">
        <is>
          <t>Fin-Ray finger TPU 95A (3 fitted + 3 spare)</t>
        </is>
      </c>
      <c r="D5" t="inlineStr">
        <is>
          <t>in-house FDM / Shore 95A</t>
        </is>
      </c>
      <c r="E5" t="inlineStr">
        <is>
          <t>cad/stl/EE1-004</t>
        </is>
      </c>
      <c r="F5" t="n">
        <v>6</v>
      </c>
      <c r="G5" t="n">
        <v>8</v>
      </c>
      <c r="H5">
        <f>F5*G5</f>
        <v/>
      </c>
      <c r="I5" t="inlineStr">
        <is>
          <t>est</t>
        </is>
      </c>
      <c r="J5" t="n">
        <v>0.5</v>
      </c>
      <c r="K5">
        <f>ROUND(H5*J5,0)</f>
        <v/>
      </c>
      <c r="L5" t="inlineStr">
        <is>
          <t>food-contact TPU; consumable, swap weekly</t>
        </is>
      </c>
    </row>
    <row r="6">
      <c r="A6" t="inlineStr">
        <is>
          <t>EE1-005</t>
        </is>
      </c>
      <c r="B6" t="inlineStr">
        <is>
          <t>Mechanical</t>
        </is>
      </c>
      <c r="C6" t="inlineStr">
        <is>
          <t>D405 bracket, 6061</t>
        </is>
      </c>
      <c r="D6" t="inlineStr">
        <is>
          <t>Xometry</t>
        </is>
      </c>
      <c r="E6" t="inlineStr">
        <is>
          <t>cad/step/EE1-005</t>
        </is>
      </c>
      <c r="F6" t="n">
        <v>1</v>
      </c>
      <c r="G6" t="n">
        <v>45</v>
      </c>
      <c r="H6">
        <f>F6*G6</f>
        <v/>
      </c>
      <c r="I6" t="inlineStr">
        <is>
          <t>est</t>
        </is>
      </c>
      <c r="J6" t="n">
        <v>0.4</v>
      </c>
      <c r="K6">
        <f>ROUND(H6*J6,0)</f>
        <v/>
      </c>
      <c r="L6" t="inlineStr"/>
    </row>
    <row r="7">
      <c r="A7" t="inlineStr">
        <is>
          <t>EE1-006</t>
        </is>
      </c>
      <c r="B7" t="inlineStr">
        <is>
          <t>Mechanical</t>
        </is>
      </c>
      <c r="C7" t="inlineStr">
        <is>
          <t>Lead-screw cam ring, bearings, lip seal, O-rings, pins</t>
        </is>
      </c>
      <c r="D7" t="inlineStr">
        <is>
          <t>McMaster-Carr</t>
        </is>
      </c>
      <c r="E7" t="inlineStr">
        <is>
          <t>assorted</t>
        </is>
      </c>
      <c r="F7" t="n">
        <v>1</v>
      </c>
      <c r="G7" t="n">
        <v>60</v>
      </c>
      <c r="H7">
        <f>F7*G7</f>
        <v/>
      </c>
      <c r="I7" t="inlineStr">
        <is>
          <t>est</t>
        </is>
      </c>
      <c r="J7" t="n">
        <v>0.6</v>
      </c>
      <c r="K7">
        <f>ROUND(H7*J7,0)</f>
        <v/>
      </c>
      <c r="L7" t="inlineStr"/>
    </row>
    <row r="8">
      <c r="A8" t="inlineStr">
        <is>
          <t>EE1-101</t>
        </is>
      </c>
      <c r="B8" t="inlineStr">
        <is>
          <t>Actuation</t>
        </is>
      </c>
      <c r="C8" t="inlineStr">
        <is>
          <t>Smart servo, current-based force control, RS485</t>
        </is>
      </c>
      <c r="D8" t="inlineStr">
        <is>
          <t>ROBOTIS</t>
        </is>
      </c>
      <c r="E8" t="inlineStr">
        <is>
          <t>DYNAMIXEL XM430-W350-R</t>
        </is>
      </c>
      <c r="F8" t="n">
        <v>1</v>
      </c>
      <c r="G8" t="n">
        <v>290</v>
      </c>
      <c r="H8">
        <f>F8*G8</f>
        <v/>
      </c>
      <c r="I8" t="inlineStr">
        <is>
          <t>est</t>
        </is>
      </c>
      <c r="J8" t="n">
        <v>0.8</v>
      </c>
      <c r="K8">
        <f>ROUND(H8*J8,0)</f>
        <v/>
      </c>
      <c r="L8" t="inlineStr">
        <is>
          <t>grip force via current limit</t>
        </is>
      </c>
    </row>
    <row r="9">
      <c r="A9" t="inlineStr">
        <is>
          <t>EE1-102</t>
        </is>
      </c>
      <c r="B9" t="inlineStr">
        <is>
          <t>Actuation</t>
        </is>
      </c>
      <c r="C9" t="inlineStr">
        <is>
          <t>Bellows suction cup 40 mm, 1.5 folds, food-grade silicone</t>
        </is>
      </c>
      <c r="D9" t="inlineStr">
        <is>
          <t>Piab</t>
        </is>
      </c>
      <c r="E9" t="inlineStr">
        <is>
          <t>BX40P-class</t>
        </is>
      </c>
      <c r="F9" t="n">
        <v>1</v>
      </c>
      <c r="G9" t="n">
        <v>35</v>
      </c>
      <c r="H9">
        <f>F9*G9</f>
        <v/>
      </c>
      <c r="I9" t="inlineStr">
        <is>
          <t>est</t>
        </is>
      </c>
      <c r="J9" t="n">
        <v>0.8</v>
      </c>
      <c r="K9">
        <f>ROUND(H9*J9,0)</f>
        <v/>
      </c>
      <c r="L9" t="inlineStr"/>
    </row>
    <row r="10">
      <c r="A10" t="inlineStr">
        <is>
          <t>EE1-103</t>
        </is>
      </c>
      <c r="B10" t="inlineStr">
        <is>
          <t>Actuation</t>
        </is>
      </c>
      <c r="C10" t="inlineStr">
        <is>
          <t>Micro linear actuator 100 mm (used 65 mm), position feedback, 12 V</t>
        </is>
      </c>
      <c r="D10" t="inlineStr">
        <is>
          <t>Actuonix</t>
        </is>
      </c>
      <c r="E10" t="inlineStr">
        <is>
          <t>L16-100-63-12-P</t>
        </is>
      </c>
      <c r="F10" t="n">
        <v>1</v>
      </c>
      <c r="G10" t="n">
        <v>90</v>
      </c>
      <c r="H10">
        <f>F10*G10</f>
        <v/>
      </c>
      <c r="I10" t="inlineStr">
        <is>
          <t>est</t>
        </is>
      </c>
      <c r="J10" t="n">
        <v>0.7</v>
      </c>
      <c r="K10">
        <f>ROUND(H10*J10,0)</f>
        <v/>
      </c>
      <c r="L10" t="inlineStr">
        <is>
          <t>retracts the suction cup 65 mm to seat the fruit</t>
        </is>
      </c>
    </row>
    <row r="11">
      <c r="A11" t="inlineStr">
        <is>
          <t>EE1-104</t>
        </is>
      </c>
      <c r="B11" t="inlineStr">
        <is>
          <t>Actuation</t>
        </is>
      </c>
      <c r="C11" t="inlineStr">
        <is>
          <t>Cup rod guide: linear bushing + PTFE wiper seal</t>
        </is>
      </c>
      <c r="D11" t="inlineStr">
        <is>
          <t>Misumi / igus</t>
        </is>
      </c>
      <c r="E11" t="inlineStr">
        <is>
          <t>assorted</t>
        </is>
      </c>
      <c r="F11" t="n">
        <v>1</v>
      </c>
      <c r="G11" t="n">
        <v>30</v>
      </c>
      <c r="H11">
        <f>F11*G11</f>
        <v/>
      </c>
      <c r="I11" t="inlineStr">
        <is>
          <t>est</t>
        </is>
      </c>
      <c r="J11" t="n">
        <v>0.7</v>
      </c>
      <c r="K11">
        <f>ROUND(H11*J11,0)</f>
        <v/>
      </c>
      <c r="L11" t="inlineStr"/>
    </row>
    <row r="12">
      <c r="A12" t="inlineStr">
        <is>
          <t>EE1-201</t>
        </is>
      </c>
      <c r="B12" t="inlineStr">
        <is>
          <t>Sensing</t>
        </is>
      </c>
      <c r="C12" t="inlineStr">
        <is>
          <t>Short-range stereo depth camera (7-50 cm), global shutter</t>
        </is>
      </c>
      <c r="D12" t="inlineStr">
        <is>
          <t>RealSense</t>
        </is>
      </c>
      <c r="E12" t="inlineStr">
        <is>
          <t>D405</t>
        </is>
      </c>
      <c r="F12" t="n">
        <v>1</v>
      </c>
      <c r="G12" t="n">
        <v>272</v>
      </c>
      <c r="H12">
        <f>F12*G12</f>
        <v/>
      </c>
      <c r="I12" t="inlineStr">
        <is>
          <t>est</t>
        </is>
      </c>
      <c r="J12" t="n">
        <v>0.85</v>
      </c>
      <c r="K12">
        <f>ROUND(H12*J12,0)</f>
        <v/>
      </c>
      <c r="L12" t="inlineStr">
        <is>
          <t>+ rugged 3 m USB-C</t>
        </is>
      </c>
    </row>
    <row r="13">
      <c r="A13" t="inlineStr">
        <is>
          <t>EE1-202</t>
        </is>
      </c>
      <c r="B13" t="inlineStr">
        <is>
          <t>Sensing</t>
        </is>
      </c>
      <c r="C13" t="inlineStr">
        <is>
          <t>ToF proximity sensor in palm (fruit contact distance)</t>
        </is>
      </c>
      <c r="D13" t="inlineStr">
        <is>
          <t>ST</t>
        </is>
      </c>
      <c r="E13" t="inlineStr">
        <is>
          <t>VL53L4CD</t>
        </is>
      </c>
      <c r="F13" t="n">
        <v>1</v>
      </c>
      <c r="G13" t="n">
        <v>15</v>
      </c>
      <c r="H13">
        <f>F13*G13</f>
        <v/>
      </c>
      <c r="I13" t="inlineStr">
        <is>
          <t>est</t>
        </is>
      </c>
      <c r="J13" t="n">
        <v>0.8</v>
      </c>
      <c r="K13">
        <f>ROUND(H13*J13,0)</f>
        <v/>
      </c>
      <c r="L13" t="inlineStr"/>
    </row>
    <row r="14">
      <c r="A14" t="inlineStr">
        <is>
          <t>EE1-203</t>
        </is>
      </c>
      <c r="B14" t="inlineStr">
        <is>
          <t>Lighting</t>
        </is>
      </c>
      <c r="C14" t="inlineStr">
        <is>
          <t>LED ring light 24 V, diffused, IP65</t>
        </is>
      </c>
      <c r="D14" t="inlineStr">
        <is>
          <t>Advanced Illumination / generic</t>
        </is>
      </c>
      <c r="E14" t="inlineStr"/>
      <c r="F14" t="n">
        <v>1</v>
      </c>
      <c r="G14" t="n">
        <v>60</v>
      </c>
      <c r="H14">
        <f>F14*G14</f>
        <v/>
      </c>
      <c r="I14" t="inlineStr">
        <is>
          <t>est</t>
        </is>
      </c>
      <c r="J14" t="n">
        <v>0.6</v>
      </c>
      <c r="K14">
        <f>ROUND(H14*J14,0)</f>
        <v/>
      </c>
      <c r="L14" t="inlineStr">
        <is>
          <t>constant lighting day + night</t>
        </is>
      </c>
    </row>
    <row r="15">
      <c r="A15" t="inlineStr">
        <is>
          <t>EE1-301</t>
        </is>
      </c>
      <c r="B15" t="inlineStr">
        <is>
          <t>Electrical</t>
        </is>
      </c>
      <c r="C15" t="inlineStr">
        <is>
          <t>M12 8-pin tool connector, RS485 interface, wiring</t>
        </is>
      </c>
      <c r="D15" t="inlineStr">
        <is>
          <t>Lumberg / ROBOTIS</t>
        </is>
      </c>
      <c r="E15" t="inlineStr">
        <is>
          <t>U2D2-class</t>
        </is>
      </c>
      <c r="F15" t="n">
        <v>1</v>
      </c>
      <c r="G15" t="n">
        <v>90</v>
      </c>
      <c r="H15">
        <f>F15*G15</f>
        <v/>
      </c>
      <c r="I15" t="inlineStr">
        <is>
          <t>est</t>
        </is>
      </c>
      <c r="J15" t="n">
        <v>0.6</v>
      </c>
      <c r="K15">
        <f>ROUND(H15*J15,0)</f>
        <v/>
      </c>
      <c r="L15" t="inlineStr"/>
    </row>
    <row r="16">
      <c r="A16" t="inlineStr">
        <is>
          <t>EE1-302</t>
        </is>
      </c>
      <c r="B16" t="inlineStr">
        <is>
          <t>Electrical</t>
        </is>
      </c>
      <c r="C16" t="inlineStr">
        <is>
          <t>Active USB3 cable 3 m, rugged</t>
        </is>
      </c>
      <c r="D16" t="inlineStr">
        <is>
          <t>Newnex / generic</t>
        </is>
      </c>
      <c r="E16" t="inlineStr"/>
      <c r="F16" t="n">
        <v>1</v>
      </c>
      <c r="G16" t="n">
        <v>45</v>
      </c>
      <c r="H16">
        <f>F16*G16</f>
        <v/>
      </c>
      <c r="I16" t="inlineStr">
        <is>
          <t>est</t>
        </is>
      </c>
      <c r="J16" t="n">
        <v>0.8</v>
      </c>
      <c r="K16">
        <f>ROUND(H16*J16,0)</f>
        <v/>
      </c>
      <c r="L16" t="inlineStr"/>
    </row>
    <row r="17">
      <c r="G17" s="4" t="inlineStr">
        <is>
          <t>TOTAL</t>
        </is>
      </c>
      <c r="H17" s="4">
        <f>SUM(H2:H16)</f>
        <v/>
      </c>
      <c r="K17" s="4">
        <f>SUM(K2:K16)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8" customWidth="1" min="3" max="3"/>
    <col width="24" customWidth="1" min="4" max="4"/>
    <col width="30" customWidth="1" min="5" max="5"/>
    <col width="5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60" customWidth="1" min="12" max="12"/>
  </cols>
  <sheetData>
    <row r="1">
      <c r="A1" s="2" t="inlineStr">
        <is>
          <t>module</t>
        </is>
      </c>
      <c r="B1" s="2" t="inlineStr">
        <is>
          <t>line</t>
        </is>
      </c>
      <c r="C1" s="2" t="inlineStr">
        <is>
          <t>qty</t>
        </is>
      </c>
      <c r="D1" s="2" t="inlineStr">
        <is>
          <t>unit_usd</t>
        </is>
      </c>
      <c r="E1" s="2" t="inlineStr">
        <is>
          <t>ext_usd</t>
        </is>
      </c>
    </row>
    <row r="2">
      <c r="A2" t="inlineStr">
        <is>
          <t>LW-1 laser weeder implement (2 heads)</t>
        </is>
      </c>
      <c r="B2" t="inlineStr">
        <is>
          <t>Sealed RF CO2 laser 100 W, air-cooled</t>
        </is>
      </c>
      <c r="C2" t="n">
        <v>2</v>
      </c>
      <c r="D2" t="n">
        <v>9000</v>
      </c>
      <c r="E2" t="n">
        <v>18000</v>
      </c>
    </row>
    <row r="3">
      <c r="A3" t="inlineStr">
        <is>
          <t>LW-1 laser weeder implement (2 heads)</t>
        </is>
      </c>
      <c r="B3" t="inlineStr">
        <is>
          <t>10.6 um galvo scan head + F-theta</t>
        </is>
      </c>
      <c r="C3" t="n">
        <v>2</v>
      </c>
      <c r="D3" t="n">
        <v>3500</v>
      </c>
      <c r="E3" t="n">
        <v>7000</v>
      </c>
    </row>
    <row r="4">
      <c r="A4" t="inlineStr">
        <is>
          <t>LW-1 laser weeder implement (2 heads)</t>
        </is>
      </c>
      <c r="B4" t="inlineStr">
        <is>
          <t>Light-tight hood with brush skirt + interlocks (Class 4)</t>
        </is>
      </c>
      <c r="C4" t="n">
        <v>1</v>
      </c>
      <c r="D4" t="n">
        <v>1500</v>
      </c>
      <c r="E4" t="n">
        <v>1500</v>
      </c>
    </row>
    <row r="5">
      <c r="A5" t="inlineStr">
        <is>
          <t>LW-1 laser weeder implement (2 heads)</t>
        </is>
      </c>
      <c r="B5" t="inlineStr">
        <is>
          <t>Global-shutter RGB cameras + strobe</t>
        </is>
      </c>
      <c r="C5" t="n">
        <v>2</v>
      </c>
      <c r="D5" t="n">
        <v>800</v>
      </c>
      <c r="E5" t="n">
        <v>1600</v>
      </c>
    </row>
    <row r="6">
      <c r="A6" t="inlineStr">
        <is>
          <t>LW-1 laser weeder implement (2 heads)</t>
        </is>
      </c>
      <c r="B6" t="inlineStr">
        <is>
          <t>Cooling, frame, auto-coupler, harness</t>
        </is>
      </c>
      <c r="C6" t="n">
        <v>1</v>
      </c>
      <c r="D6" t="n">
        <v>2600</v>
      </c>
      <c r="E6" t="n">
        <v>2600</v>
      </c>
    </row>
    <row r="7">
      <c r="A7" t="inlineStr">
        <is>
          <t>LW-1M mechanical aisle cultivator (alternative)</t>
        </is>
      </c>
      <c r="B7" t="inlineStr">
        <is>
          <t>Electric rotary hoe 0.7 m (aisle between plastic beds), 48 V 1.5 kW</t>
        </is>
      </c>
      <c r="C7" t="n">
        <v>1</v>
      </c>
      <c r="D7" t="n">
        <v>2600</v>
      </c>
      <c r="E7" t="n">
        <v>2600</v>
      </c>
    </row>
    <row r="8">
      <c r="A8" t="inlineStr">
        <is>
          <t>LW-1M mechanical aisle cultivator (alternative)</t>
        </is>
      </c>
      <c r="B8" t="inlineStr">
        <is>
          <t>Depth wheels, guard, coupler, harness</t>
        </is>
      </c>
      <c r="C8" t="n">
        <v>1</v>
      </c>
      <c r="D8" t="n">
        <v>1400</v>
      </c>
      <c r="E8" t="n">
        <v>1400</v>
      </c>
    </row>
    <row r="9">
      <c r="A9" t="inlineStr">
        <is>
          <t>SP-1 spot sprayer implement (replaces micro-doser)</t>
        </is>
      </c>
      <c r="B9" t="inlineStr">
        <is>
          <t>100 L tank, 48 V pump, 12 PWM nozzles with per-plant targeting</t>
        </is>
      </c>
      <c r="C9" t="n">
        <v>1</v>
      </c>
      <c r="D9" t="n">
        <v>3800</v>
      </c>
      <c r="E9" t="n">
        <v>3800</v>
      </c>
    </row>
    <row r="10">
      <c r="A10" t="inlineStr">
        <is>
          <t>SP-1 spot sprayer implement (replaces micro-doser)</t>
        </is>
      </c>
      <c r="B10" t="inlineStr">
        <is>
          <t>Cameras + frame + coupler</t>
        </is>
      </c>
      <c r="C10" t="n">
        <v>1</v>
      </c>
      <c r="D10" t="n">
        <v>1600</v>
      </c>
      <c r="E10" t="n">
        <v>1600</v>
      </c>
    </row>
    <row r="11">
      <c r="A11" t="inlineStr">
        <is>
          <t>HL-1 hauler (AB-1 base + tote rack, no arms)</t>
        </is>
      </c>
      <c r="B11" t="inlineStr">
        <is>
          <t>AB-1 base (see AB-1 sheet, less nothing)</t>
        </is>
      </c>
      <c r="C11" t="n">
        <v>1</v>
      </c>
      <c r="D11" t="n">
        <v>24487</v>
      </c>
      <c r="E11" t="n">
        <v>24487</v>
      </c>
    </row>
    <row r="12">
      <c r="A12" t="inlineStr">
        <is>
          <t>HL-1 hauler (AB-1 base + tote rack, no arms)</t>
        </is>
      </c>
      <c r="B12" t="inlineStr">
        <is>
          <t>8-tote rack with 4 MDR roller zones</t>
        </is>
      </c>
      <c r="C12" t="n">
        <v>1</v>
      </c>
      <c r="D12" t="n">
        <v>5200</v>
      </c>
      <c r="E12" t="n">
        <v>5200</v>
      </c>
    </row>
    <row r="13">
      <c r="A13" t="inlineStr">
        <is>
          <t>SU-1 scout UAV (ArduPilot quad, multispectral)</t>
        </is>
      </c>
      <c r="B13" t="inlineStr">
        <is>
          <t>Holybro X650 frame + motors + ESCs</t>
        </is>
      </c>
      <c r="C13" t="n">
        <v>1</v>
      </c>
      <c r="D13" t="n">
        <v>900</v>
      </c>
      <c r="E13" t="n">
        <v>900</v>
      </c>
    </row>
    <row r="14">
      <c r="A14" t="inlineStr">
        <is>
          <t>SU-1 scout UAV (ArduPilot quad, multispectral)</t>
        </is>
      </c>
      <c r="B14" t="inlineStr">
        <is>
          <t>Pixhawk 6X + power module</t>
        </is>
      </c>
      <c r="C14" t="n">
        <v>1</v>
      </c>
      <c r="D14" t="n">
        <v>450</v>
      </c>
      <c r="E14" t="n">
        <v>450</v>
      </c>
    </row>
    <row r="15">
      <c r="A15" t="inlineStr">
        <is>
          <t>SU-1 scout UAV (ArduPilot quad, multispectral)</t>
        </is>
      </c>
      <c r="B15" t="inlineStr">
        <is>
          <t>Holybro H-RTK F9P (rover)</t>
        </is>
      </c>
      <c r="C15" t="n">
        <v>1</v>
      </c>
      <c r="D15" t="n">
        <v>600</v>
      </c>
      <c r="E15" t="n">
        <v>600</v>
      </c>
    </row>
    <row r="16">
      <c r="A16" t="inlineStr">
        <is>
          <t>SU-1 scout UAV (ArduPilot quad, multispectral)</t>
        </is>
      </c>
      <c r="B16" t="inlineStr">
        <is>
          <t>Multispectral camera (MicaSense RedEdge-P class)</t>
        </is>
      </c>
      <c r="C16" t="n">
        <v>1</v>
      </c>
      <c r="D16" t="n">
        <v>7500</v>
      </c>
      <c r="E16" t="n">
        <v>7500</v>
      </c>
    </row>
    <row r="17">
      <c r="A17" t="inlineStr">
        <is>
          <t>SU-1 scout UAV (ArduPilot quad, multispectral)</t>
        </is>
      </c>
      <c r="B17" t="inlineStr">
        <is>
          <t>6S 10 Ah batteries x4 + charger</t>
        </is>
      </c>
      <c r="C17" t="n">
        <v>1</v>
      </c>
      <c r="D17" t="n">
        <v>1100</v>
      </c>
      <c r="E17" t="n">
        <v>1100</v>
      </c>
    </row>
    <row r="18">
      <c r="A18" t="inlineStr">
        <is>
          <t>SU-1 scout UAV (ArduPilot quad, multispectral)</t>
        </is>
      </c>
      <c r="B18" t="inlineStr">
        <is>
          <t>Telemetry + LTE companion (Pi 5)</t>
        </is>
      </c>
      <c r="C18" t="n">
        <v>1</v>
      </c>
      <c r="D18" t="n">
        <v>450</v>
      </c>
      <c r="E18" t="n">
        <v>450</v>
      </c>
    </row>
    <row r="19">
      <c r="A19" t="inlineStr">
        <is>
          <t>DK-1 dock/charger (serves ~2 UGVs)</t>
        </is>
      </c>
      <c r="B19" t="inlineStr">
        <is>
          <t>LFP charger 3.5 kW 48 V, CAN (Delta-Q IC3500 class)</t>
        </is>
      </c>
      <c r="C19" t="n">
        <v>1</v>
      </c>
      <c r="D19" t="n">
        <v>1800</v>
      </c>
      <c r="E19" t="n">
        <v>1800</v>
      </c>
    </row>
    <row r="20">
      <c r="A20" t="inlineStr">
        <is>
          <t>DK-1 dock/charger (serves ~2 UGVs)</t>
        </is>
      </c>
      <c r="B20" t="inlineStr">
        <is>
          <t>Dock contacts, guide rails, concrete pad</t>
        </is>
      </c>
      <c r="C20" t="n">
        <v>1</v>
      </c>
      <c r="D20" t="n">
        <v>1500</v>
      </c>
      <c r="E20" t="n">
        <v>1500</v>
      </c>
    </row>
    <row r="21">
      <c r="A21" t="inlineStr">
        <is>
          <t>DK-1 dock/charger (serves ~2 UGVs)</t>
        </is>
      </c>
      <c r="B21" t="inlineStr">
        <is>
          <t>Shade/rain shelter (steel carport kit)</t>
        </is>
      </c>
      <c r="C21" t="n">
        <v>1</v>
      </c>
      <c r="D21" t="n">
        <v>2500</v>
      </c>
      <c r="E21" t="n">
        <v>2500</v>
      </c>
    </row>
    <row r="22">
      <c r="A22" t="inlineStr">
        <is>
          <t>DK-1 dock/charger (serves ~2 UGVs)</t>
        </is>
      </c>
      <c r="B22" t="inlineStr">
        <is>
          <t>Implement-swap stand with locating cones</t>
        </is>
      </c>
      <c r="C22" t="n">
        <v>2</v>
      </c>
      <c r="D22" t="n">
        <v>900</v>
      </c>
      <c r="E22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2026-10-21T06:57:31Z</dcterms:created>
  <dcterms:modified xmlns:dcterms="http://purl.org/dc/terms/" xmlns:xsi="http://www.w3.org/2001/XMLSchema-instance" xsi:type="dcterms:W3CDTF">2026-10-21T06:57:31Z</dcterms:modified>
</cp:coreProperties>
</file>